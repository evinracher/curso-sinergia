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461022984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52895703237942d4"/>
    <x:sheet xmlns:r="http://schemas.openxmlformats.org/officeDocument/2006/relationships" name="Rutas" sheetId="2" r:id="R0b094be6529841e3"/>
    <x:sheet xmlns:r="http://schemas.openxmlformats.org/officeDocument/2006/relationships" name="Paradas" sheetId="3" r:id="R51dd49d854ed4ab2"/>
    <x:sheet xmlns:r="http://schemas.openxmlformats.org/officeDocument/2006/relationships" name="Buses" sheetId="4" r:id="R0d727c29bb844bd7"/>
    <x:sheet xmlns:r="http://schemas.openxmlformats.org/officeDocument/2006/relationships" name="Conductores" sheetId="5" r:id="R85790b859d4a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#,##0"/>
    <x:numFmt numFmtId="202" formatCode="hh:mm"/>
    <x:numFmt numFmtId="203" formatCode="&quot;$&quot;#,##0"/>
    <x:numFmt numFmtId="204" formatCode="#,##0.00"/>
    <x:numFmt numFmtId="205" formatCode="0"/>
    <x:numFmt numFmtId="206" formatCode="0.000000"/>
    <x:numFmt numFmtId="207" formatCode="dd/mm/yyyy"/>
  </x:numFmts>
  <x:fonts count="5">
    <x:font>
      <x:sz val="11"/>
      <x:name val="Carlito"/>
    </x:font>
    <x:font>
      <x:sz val="10"/>
      <x:color rgb="FF263447"/>
      <x:name val="Arial"/>
    </x:font>
    <x:font>
      <x:b/>
      <x:sz val="15"/>
      <x:color rgb="FF233A5E"/>
      <x:name val="Arial"/>
    </x:font>
    <x:font>
      <x:b/>
      <x:sz val="10"/>
      <x:color rgb="FFFFFFFF"/>
      <x:name val="Arial"/>
    </x:font>
    <x:font>
      <x:i/>
      <x:sz val="10"/>
      <x:color rgb="FF52617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A5E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dfc2d99244dad" /><Relationship Type="http://schemas.openxmlformats.org/officeDocument/2006/relationships/theme" Target="/xl/theme/theme1.xml" Id="Rd925fd82c3fc451f" /><Relationship Type="http://schemas.openxmlformats.org/officeDocument/2006/relationships/sharedStrings" Target="/xl/sharedStrings.xml" Id="R270f974b2f334481" /><Relationship Type="http://schemas.openxmlformats.org/officeDocument/2006/relationships/worksheet" Target="/xl/worksheets/sheet1.xml" Id="R52895703237942d4" /><Relationship Type="http://schemas.openxmlformats.org/officeDocument/2006/relationships/worksheet" Target="/xl/worksheets/sheet2.xml" Id="R0b094be6529841e3" /><Relationship Type="http://schemas.openxmlformats.org/officeDocument/2006/relationships/worksheet" Target="/xl/worksheets/sheet3.xml" Id="R51dd49d854ed4ab2" /><Relationship Type="http://schemas.openxmlformats.org/officeDocument/2006/relationships/worksheet" Target="/xl/worksheets/sheet4.xml" Id="R0d727c29bb844bd7" /><Relationship Type="http://schemas.openxmlformats.org/officeDocument/2006/relationships/worksheet" Target="/xl/worksheets/sheet5.xml" Id="R85790b859d4a419a" /></Relationships>
</file>

<file path=xl/tables/table1.xml><?xml version="1.0" encoding="utf-8"?>
<x:table xmlns:x="http://schemas.openxmlformats.org/spreadsheetml/2006/main" id="1" name="KPTable1" displayName="KPTable1" ref="A5:B31" headerRowCount="1" totalsRowCount="0" totalsRowShown="0">
  <x:autoFilter ref="A5:B31"/>
  <x:tableColumns count="2">
    <x:tableColumn id="1" name="Tema"/>
    <x:tableColumn id="2" name="Descrip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PTable2" displayName="KPTable2" ref="A5:M7" headerRowCount="1" totalsRowCount="0" totalsRowShown="0">
  <x:autoFilter ref="A5:M7"/>
  <x:tableColumns count="13">
    <x:tableColumn id="1" name="Código ruta"/>
    <x:tableColumn id="2" name="Nombre"/>
    <x:tableColumn id="3" name="Sentido"/>
    <x:tableColumn id="4" name="Frecuencia min"/>
    <x:tableColumn id="5" name="Recorrido min"/>
    <x:tableColumn id="6" name="Espera min"/>
    <x:tableColumn id="7" name="Ciclo min"/>
    <x:tableColumn id="8" name="Buses asignados"/>
    <x:tableColumn id="9" name="Reserva"/>
    <x:tableColumn id="10" name="Primera salida"/>
    <x:tableColumn id="11" name="Última salida"/>
    <x:tableColumn id="12" name="Fin servicio"/>
    <x:tableColumn id="13" name="Tarifa CO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PTable3" displayName="KPTable3" ref="A5:I17" headerRowCount="1" totalsRowCount="0" totalsRowShown="0">
  <x:autoFilter ref="A5:I17"/>
  <x:tableColumns count="9">
    <x:tableColumn id="1" name="Ruta"/>
    <x:tableColumn id="2" name="Orden"/>
    <x:tableColumn id="3" name="Código parada"/>
    <x:tableColumn id="4" name="Nombre de parada"/>
    <x:tableColumn id="5" name="Siguiente parada"/>
    <x:tableColumn id="6" name="Distancia al siguiente km"/>
    <x:tableColumn id="7" name="Tiempo al siguiente min"/>
    <x:tableColumn id="8" name="Minutos desde salida"/>
    <x:tableColumn id="9" name="Km desde salid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PTable4" displayName="KPTable4" ref="A5:M17" headerRowCount="1" totalsRowCount="0" totalsRowShown="0">
  <x:autoFilter ref="A5:M17"/>
  <x:tableColumns count="13">
    <x:tableColumn id="1" name="Placa"/>
    <x:tableColumn id="2" name="Ruta base"/>
    <x:tableColumn id="3" name="Marca ficticia"/>
    <x:tableColumn id="4" name="Modelo ficticio"/>
    <x:tableColumn id="5" name="Año modelo"/>
    <x:tableColumn id="6" name="Capacidad pasajeros"/>
    <x:tableColumn id="7" name="Rendimiento km/gal"/>
    <x:tableColumn id="8" name="Tanque gal"/>
    <x:tableColumn id="9" name="Intervalo aceite km"/>
    <x:tableColumn id="10" name="Odómetro inicial km"/>
    <x:tableColumn id="11" name="Combustible inicial gal"/>
    <x:tableColumn id="12" name="Último aceite fecha"/>
    <x:tableColumn id="13" name="Último aceite k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PTable5" displayName="KPTable5" ref="A5:I33" headerRowCount="1" totalsRowCount="0" totalsRowShown="0">
  <x:autoFilter ref="A5:I33"/>
  <x:tableColumns count="9">
    <x:tableColumn id="1" name="ID conductor"/>
    <x:tableColumn id="2" name="Nombre ficticio"/>
    <x:tableColumn id="3" name="Turno fijo"/>
    <x:tableColumn id="4" name="Inicio turno"/>
    <x:tableColumn id="5" name="Fin turno"/>
    <x:tableColumn id="6" name="Duración horas"/>
    <x:tableColumn id="7" name="Descanso minutos"/>
    <x:tableColumn id="8" name="Día libre 1"/>
    <x:tableColumn id="9" name="Día libre 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e892b152804b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69fcb748e74a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b95d8b2c7443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890998360042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6ce33915e464d5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2" hidden="0" customWidth="1"/>
  </x:cols>
  <x:sheetData>
    <x:row r="1">
      <x:c r="A1" s="1"/>
      <x:c r="B1" s="1"/>
    </x:row>
    <x:row r="2" ht="25" customHeight="1">
      <x:c r="A2" s="2" t="str">
        <x:v>KP Transporte · guía de los archivos</x:v>
      </x:c>
      <x:c r="B2" s="1"/>
    </x:row>
    <x:row r="3">
      <x:c r="A3" s="1"/>
      <x:c r="B3" s="1"/>
    </x:row>
    <x:row r="4">
      <x:c r="A4" s="1"/>
      <x:c r="B4" s="1"/>
    </x:row>
    <x:row r="5" ht="40" customHeight="1">
      <x:c r="A5" s="7" t="str">
        <x:v>Tema</x:v>
      </x:c>
      <x:c r="B5" s="7" t="str">
        <x:v>Descripción</x:v>
      </x:c>
    </x:row>
    <x:row r="6" ht="21" customHeight="1">
      <x:c r="A6" s="3" t="str">
        <x:v>Empresa</x:v>
      </x:c>
      <x:c r="B6" s="3" t="str">
        <x:v>KP Transporte. Empresa ficticia de Bogotá.</x:v>
      </x:c>
    </x:row>
    <x:row r="7" ht="21" customHeight="1">
      <x:c r="A7" s="3" t="str">
        <x:v>Período</x:v>
      </x:c>
      <x:c r="B7" s="3" t="str">
        <x:v>01/07/2026 a 18/09/2026. El 18/09 cierra a las 19:00.</x:v>
      </x:c>
    </x:row>
    <x:row r="8" ht="21" customHeight="1">
      <x:c r="A8" s="3" t="str">
        <x:v>Archivos mensuales</x:v>
      </x:c>
      <x:c r="B8" s="3" t="str">
        <x:v>01-julio, 02-agosto y 03-septiembre: trayectos, pasajeros por parada, turnos, kilometraje, combustible y mantenimiento.</x:v>
      </x:c>
    </x:row>
    <x:row r="9" ht="21" customHeight="1">
      <x:c r="A9" s="3" t="str">
        <x:v>Archivo diario</x:v>
      </x:c>
      <x:c r="B9" s="3" t="str">
        <x:v>04-seguimiento-2026-09-18.xlsx. Ubicación cada 15 minutos únicamente el 18/09.</x:v>
      </x:c>
    </x:row>
    <x:row r="10" ht="21" customHeight="1">
      <x:c r="A10" s="3" t="str">
        <x:v>Flota</x:v>
      </x:c>
      <x:c r="B10" s="3" t="str">
        <x:v>12 buses. Por ruta: cinco asignados y uno de reserva sin recorridos comerciales ese día.</x:v>
      </x:c>
    </x:row>
    <x:row r="11" ht="21" customHeight="1">
      <x:c r="A11" s="3" t="str">
        <x:v>Conductores</x:v>
      </x:c>
      <x:c r="B11" s="3" t="str">
        <x:v>28 conductores. 14 de mañana y 14 de tarde; 10 disponibles por turno cada día.</x:v>
      </x:c>
    </x:row>
    <x:row r="12" ht="21" customHeight="1">
      <x:c r="A12" s="3" t="str">
        <x:v>Descanso semanal</x:v>
      </x:c>
      <x:c r="B12" s="3" t="str">
        <x:v>Dos días consecutivos fijos por semana, de lunes a domingo. En semanas parciales se conserva el mismo patrón.</x:v>
      </x:c>
    </x:row>
    <x:row r="13" ht="21" customHeight="1">
      <x:c r="A13" s="3" t="str">
        <x:v>Turnos</x:v>
      </x:c>
      <x:c r="B13" s="3" t="str">
        <x:v>AM 06:00–14:30. PM 13:30–22:00. Cada turno dura 8:30 e incluye 30 minutos de descanso.</x:v>
      </x:c>
    </x:row>
    <x:row r="14" ht="21" customHeight="1">
      <x:c r="A14" s="3" t="str">
        <x:v>Relevo</x:v>
      </x:c>
      <x:c r="B14" s="3" t="str">
        <x:v>El conductor de tarde toma la siguiente salida desde las 13:30. El de mañana termina su recorrido y entrega el bus.</x:v>
      </x:c>
    </x:row>
    <x:row r="15" ht="21" customHeight="1">
      <x:c r="A15" s="3" t="str">
        <x:v>Tiempo sin conducción</x:v>
      </x:c>
      <x:c r="B15" s="3" t="str">
        <x:v>Preparación, relevo, espera y cierre están dentro del turno. El descanso se registra aparte.</x:v>
      </x:c>
    </x:row>
    <x:row r="16" ht="21" customHeight="1">
      <x:c r="A16" s="3" t="str">
        <x:v>Frecuencia</x:v>
      </x:c>
      <x:c r="B16" s="3" t="str">
        <x:v>Una salida cada 15 minutos POR RUTA. Primer recorrido 06:00; último 21:15; llegada final 22:00.</x:v>
      </x:c>
    </x:row>
    <x:row r="17" ht="21" customHeight="1">
      <x:c r="A17" s="3" t="str">
        <x:v>Ciclo por bus</x:v>
      </x:c>
      <x:c r="B17" s="3" t="str">
        <x:v>45 minutos de recorrido circular más 30 minutos en terminal. Un mismo bus sale cada 75 minutos.</x:v>
      </x:c>
    </x:row>
    <x:row r="18" ht="21" customHeight="1">
      <x:c r="A18" s="3" t="str">
        <x:v>Paradas</x:v>
      </x:c>
      <x:c r="B18" s="3" t="str">
        <x:v>Cinco paradas distintas por ruta. La sexta fila es el regreso al punto inicial.</x:v>
      </x:c>
    </x:row>
    <x:row r="19" ht="21" customHeight="1">
      <x:c r="A19" s="3" t="str">
        <x:v>Tiempos entre paradas</x:v>
      </x:c>
      <x:c r="B19" s="3" t="str">
        <x:v>Incluyen 2 minutos de atención en la parada de origen del tramo. Distancias y tiempos son supuestos didácticos.</x:v>
      </x:c>
    </x:row>
    <x:row r="20" ht="21" customHeight="1">
      <x:c r="A20" s="3" t="str">
        <x:v>Tarifa</x:v>
      </x:c>
      <x:c r="B20" s="3" t="str">
        <x:v>4.000 COP por pasajero que sube. No se cobra al bajar. No hay transbordos gratuitos ni descuentos.</x:v>
      </x:c>
    </x:row>
    <x:row r="21" ht="21" customHeight="1">
      <x:c r="A21" s="3" t="str">
        <x:v>Combustible</x:v>
      </x:c>
      <x:c r="B21" s="3" t="str">
        <x:v>Diésel a 16.500 COP por galón estadounidense. Rendimiento constante en km/galón.</x:v>
      </x:c>
    </x:row>
    <x:row r="22" ht="21" customHeight="1">
      <x:c r="A22" s="3" t="str">
        <x:v>Tanqueos</x:v>
      </x:c>
      <x:c r="B22" s="3" t="str">
        <x:v>A las 05:45, antes del servicio, se llena el tanque de los buses asignados. Galones = capacidad menos saldo.</x:v>
      </x:c>
    </x:row>
    <x:row r="23" ht="21" customHeight="1">
      <x:c r="A23" s="3" t="str">
        <x:v>Consumo</x:v>
      </x:c>
      <x:c r="B23" s="3" t="str">
        <x:v>Kilómetros recorridos divididos por km/galón. No se agrega consumo en ralentí ni recorridos de patio.</x:v>
      </x:c>
    </x:row>
    <x:row r="24" ht="21" customHeight="1">
      <x:c r="A24" s="3" t="str">
        <x:v>Mantenimiento</x:v>
      </x:c>
      <x:c r="B24" s="3" t="str">
        <x:v>En el bus de reserva, en el terminal. Se cambia aceite antes del límite cuando quedan menos de 800 km.</x:v>
      </x:c>
    </x:row>
    <x:row r="25" ht="21" customHeight="1">
      <x:c r="A25" s="3" t="str">
        <x:v>Próximo aceite</x:v>
      </x:c>
      <x:c r="B25" s="3" t="str">
        <x:v>Odómetro del último cambio más intervalo del bus. El intervalo es supuesto, no especificación de fabricante.</x:v>
      </x:c>
    </x:row>
    <x:row r="26" ht="21" customHeight="1">
      <x:c r="A26" s="3" t="str">
        <x:v>Buses y conductores</x:v>
      </x:c>
      <x:c r="B26" s="3" t="str">
        <x:v>Marcas, modelos, matrículas, identidades y especificaciones son ficticios. Los lugares sí corresponden a Bogotá.</x:v>
      </x:c>
    </x:row>
    <x:row r="27" ht="21" customHeight="1">
      <x:c r="A27" s="3" t="str">
        <x:v>Corte del 18/09</x:v>
      </x:c>
      <x:c r="B27" s="3" t="str">
        <x:v>Incluye trayectos en curso, kilómetros parciales e ingresos solo de pasajeros registrados hasta las 19:00.</x:v>
      </x:c>
    </x:row>
    <x:row r="28" ht="21" customHeight="1">
      <x:c r="A28" s="3" t="str">
        <x:v>Saldos iniciales</x:v>
      </x:c>
      <x:c r="B28" s="3" t="str">
        <x:v>La ficha de buses de cada mes conserva odómetro, combustible y último aceite al inicio del período.</x:v>
      </x:c>
    </x:row>
    <x:row r="29" ht="21" customHeight="1">
      <x:c r="A29" s="3" t="str">
        <x:v>Edición</x:v>
      </x:c>
      <x:c r="B29" s="3" t="str">
        <x:v>Los datos son una muestra histórica. Las fórmulas recalculan importes y balances; editar parámetros no regenera horarios ni demanda.</x:v>
      </x:c>
    </x:row>
    <x:row r="30" ht="21" customHeight="1">
      <x:c r="A30" s="3" t="str">
        <x:v>Relaciones</x:v>
      </x:c>
      <x:c r="B30" s="3" t="str">
        <x:v>Cruzar archivos por placa, código de ruta, ID conductor, ID turno e ID trayecto. No hay vínculos externos de Excel.</x:v>
      </x:c>
    </x:row>
    <x:row r="31" ht="21" customHeight="1">
      <x:c r="A31" s="3" t="str">
        <x:v>Origen</x:v>
      </x:c>
      <x:c r="B31" s="3" t="str">
        <x:v>Simulación solicitada por el usuario. Sin información de empresas, personas o vehículos reales.</x:v>
      </x:c>
    </x:row>
  </x:sheetData>
  <x:pageMargins left="0.7" right="0.7" top="0.75" bottom="0.75" header="0.3" footer="0.3"/>
  <x:tableParts count="1">
    <x:tablePart xmlns:r="http://schemas.openxmlformats.org/officeDocument/2006/relationships" r:id="R66e892b152804b4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23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2" t="str">
        <x:v>Rutas y capacidad de operación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0" customHeight="1">
      <x:c r="A5" s="7" t="str">
        <x:v>Código ruta</x:v>
      </x:c>
      <x:c r="B5" s="7" t="str">
        <x:v>Nombre</x:v>
      </x:c>
      <x:c r="C5" s="7" t="str">
        <x:v>Sentido</x:v>
      </x:c>
      <x:c r="D5" s="7" t="str">
        <x:v>Frecuencia min</x:v>
      </x:c>
      <x:c r="E5" s="7" t="str">
        <x:v>Recorrido min</x:v>
      </x:c>
      <x:c r="F5" s="7" t="str">
        <x:v>Espera min</x:v>
      </x:c>
      <x:c r="G5" s="7" t="str">
        <x:v>Ciclo min</x:v>
      </x:c>
      <x:c r="H5" s="7" t="str">
        <x:v>Buses asignados</x:v>
      </x:c>
      <x:c r="I5" s="7" t="str">
        <x:v>Reserva</x:v>
      </x:c>
      <x:c r="J5" s="7" t="str">
        <x:v>Primera salida</x:v>
      </x:c>
      <x:c r="K5" s="7" t="str">
        <x:v>Última salida</x:v>
      </x:c>
      <x:c r="L5" s="7" t="str">
        <x:v>Fin servicio</x:v>
      </x:c>
      <x:c r="M5" s="7" t="str">
        <x:v>Tarifa COP</x:v>
      </x:c>
    </x:row>
    <x:row r="6" ht="21" customHeight="1">
      <x:c r="A6" s="8" t="str">
        <x:v>KP01</x:v>
      </x:c>
      <x:c r="B6" s="8" t="str">
        <x:v>Galerías y Teusaquillo</x:v>
      </x:c>
      <x:c r="C6" s="8" t="str">
        <x:v>Circular horario</x:v>
      </x:c>
      <x:c r="D6" s="9" t="n">
        <x:v>15</x:v>
      </x:c>
      <x:c r="E6" s="9" t="n">
        <x:v>45</x:v>
      </x:c>
      <x:c r="F6" s="9" t="n">
        <x:v>30</x:v>
      </x:c>
      <x:c r="G6" s="9" t="n">
        <x:f>E6+F6</x:f>
        <x:v>75</x:v>
      </x:c>
      <x:c r="H6" s="9" t="n">
        <x:f>ROUNDUP(G6/D6,0)</x:f>
        <x:v>5</x:v>
      </x:c>
      <x:c r="I6" s="9" t="n">
        <x:v>1</x:v>
      </x:c>
      <x:c r="J6" s="10" t="n">
        <x:v>0.25</x:v>
      </x:c>
      <x:c r="K6" s="10" t="n">
        <x:v>0.8854166666666666</x:v>
      </x:c>
      <x:c r="L6" s="10" t="n">
        <x:v>0.9166666666666666</x:v>
      </x:c>
      <x:c r="M6" s="11" t="n">
        <x:v>4000</x:v>
      </x:c>
    </x:row>
    <x:row r="7" ht="21" customHeight="1">
      <x:c r="A7" s="8" t="str">
        <x:v>KP02</x:v>
      </x:c>
      <x:c r="B7" s="8" t="str">
        <x:v>Modelia y Salitre</x:v>
      </x:c>
      <x:c r="C7" s="8" t="str">
        <x:v>Circular horario</x:v>
      </x:c>
      <x:c r="D7" s="9" t="n">
        <x:v>15</x:v>
      </x:c>
      <x:c r="E7" s="9" t="n">
        <x:v>45</x:v>
      </x:c>
      <x:c r="F7" s="9" t="n">
        <x:v>30</x:v>
      </x:c>
      <x:c r="G7" s="9" t="n">
        <x:f>E7+F7</x:f>
        <x:v>75</x:v>
      </x:c>
      <x:c r="H7" s="9" t="n">
        <x:f>ROUNDUP(G7/D7,0)</x:f>
        <x:v>5</x:v>
      </x:c>
      <x:c r="I7" s="9" t="n">
        <x:v>1</x:v>
      </x:c>
      <x:c r="J7" s="10" t="n">
        <x:v>0.25</x:v>
      </x:c>
      <x:c r="K7" s="10" t="n">
        <x:v>0.8854166666666666</x:v>
      </x:c>
      <x:c r="L7" s="10" t="n">
        <x:v>0.9166666666666666</x:v>
      </x:c>
      <x:c r="M7" s="11" t="n">
        <x:v>4000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</x:sheetData>
  <x:pageMargins left="0.7" right="0.7" top="0.75" bottom="0.75" header="0.3" footer="0.3"/>
  <x:tableParts count="1">
    <x:tablePart xmlns:r="http://schemas.openxmlformats.org/officeDocument/2006/relationships" r:id="R0469fcb748e74a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30" hidden="0" customWidth="1"/>
    <x:col min="5" max="5" width="30" hidden="0" customWidth="1"/>
    <x:col min="6" max="6" width="23" hidden="0" customWidth="1"/>
    <x:col min="7" max="7" width="23" hidden="0" customWidth="1"/>
    <x:col min="8" max="8" width="24" hidden="0" customWidth="1"/>
    <x:col min="9" max="9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5" customHeight="1">
      <x:c r="A2" s="2" t="str">
        <x:v>Secuencia de paradas en Bogotá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12" t="str">
        <x:v>Las distancias y tiempos son simulados. El último registro es el regreso a la parada inicial.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0" customHeight="1">
      <x:c r="A5" s="7" t="str">
        <x:v>Ruta</x:v>
      </x:c>
      <x:c r="B5" s="7" t="str">
        <x:v>Orden</x:v>
      </x:c>
      <x:c r="C5" s="7" t="str">
        <x:v>Código parada</x:v>
      </x:c>
      <x:c r="D5" s="7" t="str">
        <x:v>Nombre de parada</x:v>
      </x:c>
      <x:c r="E5" s="7" t="str">
        <x:v>Siguiente parada</x:v>
      </x:c>
      <x:c r="F5" s="7" t="str">
        <x:v>Distancia al siguiente km</x:v>
      </x:c>
      <x:c r="G5" s="7" t="str">
        <x:v>Tiempo al siguiente min</x:v>
      </x:c>
      <x:c r="H5" s="7" t="str">
        <x:v>Minutos desde salida</x:v>
      </x:c>
      <x:c r="I5" s="7" t="str">
        <x:v>Km desde salida</x:v>
      </x:c>
    </x:row>
    <x:row r="6" ht="21" customHeight="1">
      <x:c r="A6" s="8" t="str">
        <x:v>KP01</x:v>
      </x:c>
      <x:c r="B6" s="9" t="n">
        <x:v>1</x:v>
      </x:c>
      <x:c r="C6" s="8" t="str">
        <x:v>P101</x:v>
      </x:c>
      <x:c r="D6" s="8" t="str">
        <x:v>Galerías</x:v>
      </x:c>
      <x:c r="E6" s="8" t="str">
        <x:v>Movistar Arena</x:v>
      </x:c>
      <x:c r="F6" s="13" t="n">
        <x:v>2.1</x:v>
      </x:c>
      <x:c r="G6" s="9" t="n">
        <x:v>8</x:v>
      </x:c>
      <x:c r="H6" s="9" t="n">
        <x:v>0</x:v>
      </x:c>
      <x:c r="I6" s="13" t="n">
        <x:v>0</x:v>
      </x:c>
    </x:row>
    <x:row r="7" ht="21" customHeight="1">
      <x:c r="A7" s="8" t="str">
        <x:v>KP01</x:v>
      </x:c>
      <x:c r="B7" s="9" t="n">
        <x:v>2</x:v>
      </x:c>
      <x:c r="C7" s="8" t="str">
        <x:v>P102</x:v>
      </x:c>
      <x:c r="D7" s="8" t="str">
        <x:v>Movistar Arena</x:v>
      </x:c>
      <x:c r="E7" s="8" t="str">
        <x:v>El Campín</x:v>
      </x:c>
      <x:c r="F7" s="13" t="n">
        <x:v>0.8</x:v>
      </x:c>
      <x:c r="G7" s="9" t="n">
        <x:v>6</x:v>
      </x:c>
      <x:c r="H7" s="9" t="n">
        <x:v>8</x:v>
      </x:c>
      <x:c r="I7" s="13" t="n">
        <x:v>2.1</x:v>
      </x:c>
    </x:row>
    <x:row r="8" ht="21" customHeight="1">
      <x:c r="A8" s="8" t="str">
        <x:v>KP01</x:v>
      </x:c>
      <x:c r="B8" s="9" t="n">
        <x:v>3</x:v>
      </x:c>
      <x:c r="C8" s="8" t="str">
        <x:v>P103</x:v>
      </x:c>
      <x:c r="D8" s="8" t="str">
        <x:v>El Campín</x:v>
      </x:c>
      <x:c r="E8" s="8" t="str">
        <x:v>Universidad Nacional</x:v>
      </x:c>
      <x:c r="F8" s="13" t="n">
        <x:v>2.4</x:v>
      </x:c>
      <x:c r="G8" s="9" t="n">
        <x:v>10</x:v>
      </x:c>
      <x:c r="H8" s="9" t="n">
        <x:v>14</x:v>
      </x:c>
      <x:c r="I8" s="13" t="n">
        <x:v>2.9</x:v>
      </x:c>
    </x:row>
    <x:row r="9" ht="21" customHeight="1">
      <x:c r="A9" s="8" t="str">
        <x:v>KP01</x:v>
      </x:c>
      <x:c r="B9" s="9" t="n">
        <x:v>4</x:v>
      </x:c>
      <x:c r="C9" s="8" t="str">
        <x:v>P104</x:v>
      </x:c>
      <x:c r="D9" s="8" t="str">
        <x:v>Universidad Nacional</x:v>
      </x:c>
      <x:c r="E9" s="8" t="str">
        <x:v>Parkway</x:v>
      </x:c>
      <x:c r="F9" s="13" t="n">
        <x:v>2.7</x:v>
      </x:c>
      <x:c r="G9" s="9" t="n">
        <x:v>11</x:v>
      </x:c>
      <x:c r="H9" s="9" t="n">
        <x:v>24</x:v>
      </x:c>
      <x:c r="I9" s="13" t="n">
        <x:v>5.3</x:v>
      </x:c>
    </x:row>
    <x:row r="10" ht="21" customHeight="1">
      <x:c r="A10" s="8" t="str">
        <x:v>KP01</x:v>
      </x:c>
      <x:c r="B10" s="9" t="n">
        <x:v>5</x:v>
      </x:c>
      <x:c r="C10" s="8" t="str">
        <x:v>P105</x:v>
      </x:c>
      <x:c r="D10" s="8" t="str">
        <x:v>Parkway</x:v>
      </x:c>
      <x:c r="E10" s="8" t="str">
        <x:v>Galerías</x:v>
      </x:c>
      <x:c r="F10" s="13" t="n">
        <x:v>2.2</x:v>
      </x:c>
      <x:c r="G10" s="9" t="n">
        <x:v>10</x:v>
      </x:c>
      <x:c r="H10" s="9" t="n">
        <x:v>35</x:v>
      </x:c>
      <x:c r="I10" s="13" t="n">
        <x:v>8</x:v>
      </x:c>
    </x:row>
    <x:row r="11" ht="21" customHeight="1">
      <x:c r="A11" s="8" t="str">
        <x:v>KP01</x:v>
      </x:c>
      <x:c r="B11" s="9" t="n">
        <x:v>6</x:v>
      </x:c>
      <x:c r="C11" s="8" t="str">
        <x:v>P101</x:v>
      </x:c>
      <x:c r="D11" s="8" t="str">
        <x:v>Galerías</x:v>
      </x:c>
      <x:c r="E11" s="8" t="str">
        <x:v>Fin de recorrido</x:v>
      </x:c>
      <x:c r="F11" s="13" t="n">
        <x:v>0</x:v>
      </x:c>
      <x:c r="G11" s="9" t="n">
        <x:v>0</x:v>
      </x:c>
      <x:c r="H11" s="9" t="n">
        <x:v>45</x:v>
      </x:c>
      <x:c r="I11" s="13" t="n">
        <x:v>10.2</x:v>
      </x:c>
    </x:row>
    <x:row r="12" ht="21" customHeight="1">
      <x:c r="A12" s="8" t="str">
        <x:v>KP02</x:v>
      </x:c>
      <x:c r="B12" s="9" t="n">
        <x:v>1</x:v>
      </x:c>
      <x:c r="C12" s="8" t="str">
        <x:v>P201</x:v>
      </x:c>
      <x:c r="D12" s="8" t="str">
        <x:v>Modelia</x:v>
      </x:c>
      <x:c r="E12" s="8" t="str">
        <x:v>Hayuelos</x:v>
      </x:c>
      <x:c r="F12" s="13" t="n">
        <x:v>2.4</x:v>
      </x:c>
      <x:c r="G12" s="9" t="n">
        <x:v>8</x:v>
      </x:c>
      <x:c r="H12" s="9" t="n">
        <x:v>0</x:v>
      </x:c>
      <x:c r="I12" s="13" t="n">
        <x:v>0</x:v>
      </x:c>
    </x:row>
    <x:row r="13" ht="21" customHeight="1">
      <x:c r="A13" s="8" t="str">
        <x:v>KP02</x:v>
      </x:c>
      <x:c r="B13" s="9" t="n">
        <x:v>2</x:v>
      </x:c>
      <x:c r="C13" s="8" t="str">
        <x:v>P202</x:v>
      </x:c>
      <x:c r="D13" s="8" t="str">
        <x:v>Hayuelos</x:v>
      </x:c>
      <x:c r="E13" s="8" t="str">
        <x:v>Capellanía</x:v>
      </x:c>
      <x:c r="F13" s="13" t="n">
        <x:v>1.8</x:v>
      </x:c>
      <x:c r="G13" s="9" t="n">
        <x:v>7</x:v>
      </x:c>
      <x:c r="H13" s="9" t="n">
        <x:v>8</x:v>
      </x:c>
      <x:c r="I13" s="13" t="n">
        <x:v>2.4</x:v>
      </x:c>
    </x:row>
    <x:row r="14" ht="21" customHeight="1">
      <x:c r="A14" s="8" t="str">
        <x:v>KP02</x:v>
      </x:c>
      <x:c r="B14" s="9" t="n">
        <x:v>3</x:v>
      </x:c>
      <x:c r="C14" s="8" t="str">
        <x:v>P203</x:v>
      </x:c>
      <x:c r="D14" s="8" t="str">
        <x:v>Capellanía</x:v>
      </x:c>
      <x:c r="E14" s="8" t="str">
        <x:v>Salitre Plaza</x:v>
      </x:c>
      <x:c r="F14" s="13" t="n">
        <x:v>3.3</x:v>
      </x:c>
      <x:c r="G14" s="9" t="n">
        <x:v>11</x:v>
      </x:c>
      <x:c r="H14" s="9" t="n">
        <x:v>15</x:v>
      </x:c>
      <x:c r="I14" s="13" t="n">
        <x:v>4.2</x:v>
      </x:c>
    </x:row>
    <x:row r="15" ht="21" customHeight="1">
      <x:c r="A15" s="8" t="str">
        <x:v>KP02</x:v>
      </x:c>
      <x:c r="B15" s="9" t="n">
        <x:v>4</x:v>
      </x:c>
      <x:c r="C15" s="8" t="str">
        <x:v>P204</x:v>
      </x:c>
      <x:c r="D15" s="8" t="str">
        <x:v>Salitre Plaza</x:v>
      </x:c>
      <x:c r="E15" s="8" t="str">
        <x:v>Terminal Salitre</x:v>
      </x:c>
      <x:c r="F15" s="13" t="n">
        <x:v>1.1</x:v>
      </x:c>
      <x:c r="G15" s="9" t="n">
        <x:v>7</x:v>
      </x:c>
      <x:c r="H15" s="9" t="n">
        <x:v>26</x:v>
      </x:c>
      <x:c r="I15" s="13" t="n">
        <x:v>7.5</x:v>
      </x:c>
    </x:row>
    <x:row r="16" ht="21" customHeight="1">
      <x:c r="A16" s="8" t="str">
        <x:v>KP02</x:v>
      </x:c>
      <x:c r="B16" s="9" t="n">
        <x:v>5</x:v>
      </x:c>
      <x:c r="C16" s="8" t="str">
        <x:v>P205</x:v>
      </x:c>
      <x:c r="D16" s="8" t="str">
        <x:v>Terminal Salitre</x:v>
      </x:c>
      <x:c r="E16" s="8" t="str">
        <x:v>Modelia</x:v>
      </x:c>
      <x:c r="F16" s="13" t="n">
        <x:v>3.4</x:v>
      </x:c>
      <x:c r="G16" s="9" t="n">
        <x:v>12</x:v>
      </x:c>
      <x:c r="H16" s="9" t="n">
        <x:v>33</x:v>
      </x:c>
      <x:c r="I16" s="13" t="n">
        <x:v>8.6</x:v>
      </x:c>
    </x:row>
    <x:row r="17" ht="21" customHeight="1">
      <x:c r="A17" s="8" t="str">
        <x:v>KP02</x:v>
      </x:c>
      <x:c r="B17" s="9" t="n">
        <x:v>6</x:v>
      </x:c>
      <x:c r="C17" s="8" t="str">
        <x:v>P201</x:v>
      </x:c>
      <x:c r="D17" s="8" t="str">
        <x:v>Modelia</x:v>
      </x:c>
      <x:c r="E17" s="8" t="str">
        <x:v>Fin de recorrido</x:v>
      </x:c>
      <x:c r="F17" s="13" t="n">
        <x:v>0</x:v>
      </x:c>
      <x:c r="G17" s="9" t="n">
        <x:v>0</x:v>
      </x:c>
      <x:c r="H17" s="9" t="n">
        <x:v>45</x:v>
      </x:c>
      <x:c r="I17" s="13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dab95d8b2c7443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24" hidden="0" customWidth="1"/>
    <x:col min="4" max="4" width="21" hidden="0" customWidth="1"/>
    <x:col min="5" max="5" width="15" hidden="0" customWidth="1"/>
    <x:col min="6" max="6" width="22" hidden="0" customWidth="1"/>
    <x:col min="7" max="7" width="22" hidden="0" customWidth="1"/>
    <x:col min="8" max="8" width="17" hidden="0" customWidth="1"/>
    <x:col min="9" max="9" width="22" hidden="0" customWidth="1"/>
    <x:col min="10" max="10" width="25" hidden="0" customWidth="1"/>
    <x:col min="11" max="11" width="25" hidden="0" customWidth="1"/>
    <x:col min="12" max="12" width="22" hidden="0" customWidth="1"/>
    <x:col min="13" max="13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2" t="str">
        <x:v>Flota inicial al 1 de julio de 2026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2" t="str">
        <x:v>Todos los datos técnicos son supuestos de la simulación. Capacidad = pasajeros, sin contar al conductor.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0" customHeight="1">
      <x:c r="A5" s="7" t="str">
        <x:v>Placa</x:v>
      </x:c>
      <x:c r="B5" s="7" t="str">
        <x:v>Ruta base</x:v>
      </x:c>
      <x:c r="C5" s="7" t="str">
        <x:v>Marca ficticia</x:v>
      </x:c>
      <x:c r="D5" s="7" t="str">
        <x:v>Modelo ficticio</x:v>
      </x:c>
      <x:c r="E5" s="7" t="str">
        <x:v>Año modelo</x:v>
      </x:c>
      <x:c r="F5" s="7" t="str">
        <x:v>Capacidad pasajeros</x:v>
      </x:c>
      <x:c r="G5" s="7" t="str">
        <x:v>Rendimiento km/gal</x:v>
      </x:c>
      <x:c r="H5" s="7" t="str">
        <x:v>Tanque gal</x:v>
      </x:c>
      <x:c r="I5" s="7" t="str">
        <x:v>Intervalo aceite km</x:v>
      </x:c>
      <x:c r="J5" s="7" t="str">
        <x:v>Odómetro inicial km</x:v>
      </x:c>
      <x:c r="K5" s="7" t="str">
        <x:v>Combustible inicial gal</x:v>
      </x:c>
      <x:c r="L5" s="7" t="str">
        <x:v>Último aceite fecha</x:v>
      </x:c>
      <x:c r="M5" s="7" t="str">
        <x:v>Último aceite km</x:v>
      </x:c>
    </x:row>
    <x:row r="6" ht="21" customHeight="1">
      <x:c r="A6" s="8" t="str">
        <x:v>KPA3101</x:v>
      </x:c>
      <x:c r="B6" s="8" t="str">
        <x:v>KP01</x:v>
      </x:c>
      <x:c r="C6" s="8" t="str">
        <x:v>Andina Motor</x:v>
      </x:c>
      <x:c r="D6" s="8" t="str">
        <x:v>Urbano 40</x:v>
      </x:c>
      <x:c r="E6" s="14" t="n">
        <x:v>2020</x:v>
      </x:c>
      <x:c r="F6" s="9" t="n">
        <x:v>40</x:v>
      </x:c>
      <x:c r="G6" s="13" t="n">
        <x:v>9.2</x:v>
      </x:c>
      <x:c r="H6" s="13" t="n">
        <x:v>40</x:v>
      </x:c>
      <x:c r="I6" s="9" t="n">
        <x:v>5000</x:v>
      </x:c>
      <x:c r="J6" s="13" t="n">
        <x:v>78000</x:v>
      </x:c>
      <x:c r="K6" s="15" t="n">
        <x:v>24</x:v>
      </x:c>
      <x:c r="L6" s="16" t="n">
        <x:v>46183</x:v>
      </x:c>
      <x:c r="M6" s="13" t="n">
        <x:v>73300</x:v>
      </x:c>
    </x:row>
    <x:row r="7" ht="21" customHeight="1">
      <x:c r="A7" s="8" t="str">
        <x:v>KPA3102</x:v>
      </x:c>
      <x:c r="B7" s="8" t="str">
        <x:v>KP01</x:v>
      </x:c>
      <x:c r="C7" s="8" t="str">
        <x:v>Sabana Bus</x:v>
      </x:c>
      <x:c r="D7" s="8" t="str">
        <x:v>Urbano 45</x:v>
      </x:c>
      <x:c r="E7" s="14" t="n">
        <x:v>2021</x:v>
      </x:c>
      <x:c r="F7" s="9" t="n">
        <x:v>45</x:v>
      </x:c>
      <x:c r="G7" s="13" t="n">
        <x:v>9.799999999999999</x:v>
      </x:c>
      <x:c r="H7" s="13" t="n">
        <x:v>45</x:v>
      </x:c>
      <x:c r="I7" s="9" t="n">
        <x:v>6000</x:v>
      </x:c>
      <x:c r="J7" s="13" t="n">
        <x:v>87700</x:v>
      </x:c>
      <x:c r="K7" s="15" t="n">
        <x:v>27</x:v>
      </x:c>
      <x:c r="L7" s="16" t="n">
        <x:v>46184</x:v>
      </x:c>
      <x:c r="M7" s="13" t="n">
        <x:v>82210</x:v>
      </x:c>
    </x:row>
    <x:row r="8" ht="21" customHeight="1">
      <x:c r="A8" s="8" t="str">
        <x:v>KPA3103</x:v>
      </x:c>
      <x:c r="B8" s="8" t="str">
        <x:v>KP01</x:v>
      </x:c>
      <x:c r="C8" s="8" t="str">
        <x:v>Cóndor Vehículos</x:v>
      </x:c>
      <x:c r="D8" s="8" t="str">
        <x:v>Urbano 50</x:v>
      </x:c>
      <x:c r="E8" s="14" t="n">
        <x:v>2022</x:v>
      </x:c>
      <x:c r="F8" s="9" t="n">
        <x:v>50</x:v>
      </x:c>
      <x:c r="G8" s="13" t="n">
        <x:v>10.399999999999999</x:v>
      </x:c>
      <x:c r="H8" s="13" t="n">
        <x:v>50</x:v>
      </x:c>
      <x:c r="I8" s="9" t="n">
        <x:v>7000</x:v>
      </x:c>
      <x:c r="J8" s="13" t="n">
        <x:v>97400</x:v>
      </x:c>
      <x:c r="K8" s="15" t="n">
        <x:v>30</x:v>
      </x:c>
      <x:c r="L8" s="16" t="n">
        <x:v>46185</x:v>
      </x:c>
      <x:c r="M8" s="13" t="n">
        <x:v>91120</x:v>
      </x:c>
    </x:row>
    <x:row r="9" ht="21" customHeight="1">
      <x:c r="A9" s="8" t="str">
        <x:v>KPA3104</x:v>
      </x:c>
      <x:c r="B9" s="8" t="str">
        <x:v>KP01</x:v>
      </x:c>
      <x:c r="C9" s="8" t="str">
        <x:v>Andina Motor</x:v>
      </x:c>
      <x:c r="D9" s="8" t="str">
        <x:v>Urbano 40</x:v>
      </x:c>
      <x:c r="E9" s="14" t="n">
        <x:v>2023</x:v>
      </x:c>
      <x:c r="F9" s="9" t="n">
        <x:v>40</x:v>
      </x:c>
      <x:c r="G9" s="13" t="n">
        <x:v>11</x:v>
      </x:c>
      <x:c r="H9" s="13" t="n">
        <x:v>40</x:v>
      </x:c>
      <x:c r="I9" s="9" t="n">
        <x:v>5000</x:v>
      </x:c>
      <x:c r="J9" s="13" t="n">
        <x:v>107100</x:v>
      </x:c>
      <x:c r="K9" s="15" t="n">
        <x:v>24</x:v>
      </x:c>
      <x:c r="L9" s="16" t="n">
        <x:v>46186</x:v>
      </x:c>
      <x:c r="M9" s="13" t="n">
        <x:v>103030</x:v>
      </x:c>
    </x:row>
    <x:row r="10" ht="21" customHeight="1">
      <x:c r="A10" s="8" t="str">
        <x:v>KPA3105</x:v>
      </x:c>
      <x:c r="B10" s="8" t="str">
        <x:v>KP01</x:v>
      </x:c>
      <x:c r="C10" s="8" t="str">
        <x:v>Sabana Bus</x:v>
      </x:c>
      <x:c r="D10" s="8" t="str">
        <x:v>Urbano 45</x:v>
      </x:c>
      <x:c r="E10" s="14" t="n">
        <x:v>2024</x:v>
      </x:c>
      <x:c r="F10" s="9" t="n">
        <x:v>45</x:v>
      </x:c>
      <x:c r="G10" s="13" t="n">
        <x:v>9.2</x:v>
      </x:c>
      <x:c r="H10" s="13" t="n">
        <x:v>45</x:v>
      </x:c>
      <x:c r="I10" s="9" t="n">
        <x:v>6000</x:v>
      </x:c>
      <x:c r="J10" s="13" t="n">
        <x:v>116800</x:v>
      </x:c>
      <x:c r="K10" s="15" t="n">
        <x:v>27</x:v>
      </x:c>
      <x:c r="L10" s="16" t="n">
        <x:v>46187</x:v>
      </x:c>
      <x:c r="M10" s="13" t="n">
        <x:v>111940</x:v>
      </x:c>
    </x:row>
    <x:row r="11" ht="21" customHeight="1">
      <x:c r="A11" s="8" t="str">
        <x:v>KPA3106</x:v>
      </x:c>
      <x:c r="B11" s="8" t="str">
        <x:v>KP01</x:v>
      </x:c>
      <x:c r="C11" s="8" t="str">
        <x:v>Cóndor Vehículos</x:v>
      </x:c>
      <x:c r="D11" s="8" t="str">
        <x:v>Urbano 50</x:v>
      </x:c>
      <x:c r="E11" s="14" t="n">
        <x:v>2025</x:v>
      </x:c>
      <x:c r="F11" s="9" t="n">
        <x:v>50</x:v>
      </x:c>
      <x:c r="G11" s="13" t="n">
        <x:v>9.799999999999999</x:v>
      </x:c>
      <x:c r="H11" s="13" t="n">
        <x:v>50</x:v>
      </x:c>
      <x:c r="I11" s="9" t="n">
        <x:v>7000</x:v>
      </x:c>
      <x:c r="J11" s="13" t="n">
        <x:v>126500</x:v>
      </x:c>
      <x:c r="K11" s="15" t="n">
        <x:v>30</x:v>
      </x:c>
      <x:c r="L11" s="16" t="n">
        <x:v>46188</x:v>
      </x:c>
      <x:c r="M11" s="13" t="n">
        <x:v>120850</x:v>
      </x:c>
    </x:row>
    <x:row r="12" ht="21" customHeight="1">
      <x:c r="A12" s="8" t="str">
        <x:v>KPB3107</x:v>
      </x:c>
      <x:c r="B12" s="8" t="str">
        <x:v>KP02</x:v>
      </x:c>
      <x:c r="C12" s="8" t="str">
        <x:v>Andina Motor</x:v>
      </x:c>
      <x:c r="D12" s="8" t="str">
        <x:v>Urbano 40</x:v>
      </x:c>
      <x:c r="E12" s="14" t="n">
        <x:v>2020</x:v>
      </x:c>
      <x:c r="F12" s="9" t="n">
        <x:v>40</x:v>
      </x:c>
      <x:c r="G12" s="13" t="n">
        <x:v>10.399999999999999</x:v>
      </x:c>
      <x:c r="H12" s="13" t="n">
        <x:v>40</x:v>
      </x:c>
      <x:c r="I12" s="9" t="n">
        <x:v>5000</x:v>
      </x:c>
      <x:c r="J12" s="13" t="n">
        <x:v>136200</x:v>
      </x:c>
      <x:c r="K12" s="15" t="n">
        <x:v>24</x:v>
      </x:c>
      <x:c r="L12" s="16" t="n">
        <x:v>46189</x:v>
      </x:c>
      <x:c r="M12" s="13" t="n">
        <x:v>131500</x:v>
      </x:c>
    </x:row>
    <x:row r="13" ht="21" customHeight="1">
      <x:c r="A13" s="8" t="str">
        <x:v>KPB3108</x:v>
      </x:c>
      <x:c r="B13" s="8" t="str">
        <x:v>KP02</x:v>
      </x:c>
      <x:c r="C13" s="8" t="str">
        <x:v>Sabana Bus</x:v>
      </x:c>
      <x:c r="D13" s="8" t="str">
        <x:v>Urbano 45</x:v>
      </x:c>
      <x:c r="E13" s="14" t="n">
        <x:v>2021</x:v>
      </x:c>
      <x:c r="F13" s="9" t="n">
        <x:v>45</x:v>
      </x:c>
      <x:c r="G13" s="13" t="n">
        <x:v>11</x:v>
      </x:c>
      <x:c r="H13" s="13" t="n">
        <x:v>45</x:v>
      </x:c>
      <x:c r="I13" s="9" t="n">
        <x:v>6000</x:v>
      </x:c>
      <x:c r="J13" s="13" t="n">
        <x:v>145900</x:v>
      </x:c>
      <x:c r="K13" s="15" t="n">
        <x:v>27</x:v>
      </x:c>
      <x:c r="L13" s="16" t="n">
        <x:v>46190</x:v>
      </x:c>
      <x:c r="M13" s="13" t="n">
        <x:v>140410</x:v>
      </x:c>
    </x:row>
    <x:row r="14" ht="21" customHeight="1">
      <x:c r="A14" s="8" t="str">
        <x:v>KPB3109</x:v>
      </x:c>
      <x:c r="B14" s="8" t="str">
        <x:v>KP02</x:v>
      </x:c>
      <x:c r="C14" s="8" t="str">
        <x:v>Cóndor Vehículos</x:v>
      </x:c>
      <x:c r="D14" s="8" t="str">
        <x:v>Urbano 50</x:v>
      </x:c>
      <x:c r="E14" s="14" t="n">
        <x:v>2022</x:v>
      </x:c>
      <x:c r="F14" s="9" t="n">
        <x:v>50</x:v>
      </x:c>
      <x:c r="G14" s="13" t="n">
        <x:v>9.2</x:v>
      </x:c>
      <x:c r="H14" s="13" t="n">
        <x:v>50</x:v>
      </x:c>
      <x:c r="I14" s="9" t="n">
        <x:v>7000</x:v>
      </x:c>
      <x:c r="J14" s="13" t="n">
        <x:v>155600</x:v>
      </x:c>
      <x:c r="K14" s="15" t="n">
        <x:v>30</x:v>
      </x:c>
      <x:c r="L14" s="16" t="n">
        <x:v>46191</x:v>
      </x:c>
      <x:c r="M14" s="13" t="n">
        <x:v>149320</x:v>
      </x:c>
    </x:row>
    <x:row r="15" ht="21" customHeight="1">
      <x:c r="A15" s="8" t="str">
        <x:v>KPB3110</x:v>
      </x:c>
      <x:c r="B15" s="8" t="str">
        <x:v>KP02</x:v>
      </x:c>
      <x:c r="C15" s="8" t="str">
        <x:v>Andina Motor</x:v>
      </x:c>
      <x:c r="D15" s="8" t="str">
        <x:v>Urbano 40</x:v>
      </x:c>
      <x:c r="E15" s="14" t="n">
        <x:v>2023</x:v>
      </x:c>
      <x:c r="F15" s="9" t="n">
        <x:v>40</x:v>
      </x:c>
      <x:c r="G15" s="13" t="n">
        <x:v>9.799999999999999</x:v>
      </x:c>
      <x:c r="H15" s="13" t="n">
        <x:v>40</x:v>
      </x:c>
      <x:c r="I15" s="9" t="n">
        <x:v>5000</x:v>
      </x:c>
      <x:c r="J15" s="13" t="n">
        <x:v>165300</x:v>
      </x:c>
      <x:c r="K15" s="15" t="n">
        <x:v>24</x:v>
      </x:c>
      <x:c r="L15" s="16" t="n">
        <x:v>46192</x:v>
      </x:c>
      <x:c r="M15" s="13" t="n">
        <x:v>161230</x:v>
      </x:c>
    </x:row>
    <x:row r="16" ht="21" customHeight="1">
      <x:c r="A16" s="8" t="str">
        <x:v>KPB3111</x:v>
      </x:c>
      <x:c r="B16" s="8" t="str">
        <x:v>KP02</x:v>
      </x:c>
      <x:c r="C16" s="8" t="str">
        <x:v>Sabana Bus</x:v>
      </x:c>
      <x:c r="D16" s="8" t="str">
        <x:v>Urbano 45</x:v>
      </x:c>
      <x:c r="E16" s="14" t="n">
        <x:v>2024</x:v>
      </x:c>
      <x:c r="F16" s="9" t="n">
        <x:v>45</x:v>
      </x:c>
      <x:c r="G16" s="13" t="n">
        <x:v>10.399999999999999</x:v>
      </x:c>
      <x:c r="H16" s="13" t="n">
        <x:v>45</x:v>
      </x:c>
      <x:c r="I16" s="9" t="n">
        <x:v>6000</x:v>
      </x:c>
      <x:c r="J16" s="13" t="n">
        <x:v>175000</x:v>
      </x:c>
      <x:c r="K16" s="15" t="n">
        <x:v>27</x:v>
      </x:c>
      <x:c r="L16" s="16" t="n">
        <x:v>46193</x:v>
      </x:c>
      <x:c r="M16" s="13" t="n">
        <x:v>170140</x:v>
      </x:c>
    </x:row>
    <x:row r="17" ht="21" customHeight="1">
      <x:c r="A17" s="8" t="str">
        <x:v>KPB3112</x:v>
      </x:c>
      <x:c r="B17" s="8" t="str">
        <x:v>KP02</x:v>
      </x:c>
      <x:c r="C17" s="8" t="str">
        <x:v>Cóndor Vehículos</x:v>
      </x:c>
      <x:c r="D17" s="8" t="str">
        <x:v>Urbano 50</x:v>
      </x:c>
      <x:c r="E17" s="14" t="n">
        <x:v>2025</x:v>
      </x:c>
      <x:c r="F17" s="9" t="n">
        <x:v>50</x:v>
      </x:c>
      <x:c r="G17" s="13" t="n">
        <x:v>11</x:v>
      </x:c>
      <x:c r="H17" s="13" t="n">
        <x:v>50</x:v>
      </x:c>
      <x:c r="I17" s="9" t="n">
        <x:v>7000</x:v>
      </x:c>
      <x:c r="J17" s="13" t="n">
        <x:v>184700</x:v>
      </x:c>
      <x:c r="K17" s="15" t="n">
        <x:v>30</x:v>
      </x:c>
      <x:c r="L17" s="16" t="n">
        <x:v>46194</x:v>
      </x:c>
      <x:c r="M17" s="13" t="n">
        <x:v>179050</x:v>
      </x:c>
    </x:row>
  </x:sheetData>
  <x:pageMargins left="0.7" right="0.7" top="0.75" bottom="0.75" header="0.3" footer="0.3"/>
  <x:tableParts count="1">
    <x:tablePart xmlns:r="http://schemas.openxmlformats.org/officeDocument/2006/relationships" r:id="R098909983600428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7" hidden="0" customWidth="1"/>
    <x:col min="4" max="4" width="18" hidden="0" customWidth="1"/>
    <x:col min="5" max="5" width="18" hidden="0" customWidth="1"/>
    <x:col min="6" max="6" width="20" hidden="0" customWidth="1"/>
    <x:col min="7" max="7" width="21" hidden="0" customWidth="1"/>
    <x:col min="8" max="8" width="20" hidden="0" customWidth="1"/>
    <x:col min="9" max="9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5" customHeight="1">
      <x:c r="A2" s="2" t="str">
        <x:v>Conductores y descansos semanales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0" customHeight="1">
      <x:c r="A5" s="7" t="str">
        <x:v>ID conductor</x:v>
      </x:c>
      <x:c r="B5" s="7" t="str">
        <x:v>Nombre ficticio</x:v>
      </x:c>
      <x:c r="C5" s="7" t="str">
        <x:v>Turno fijo</x:v>
      </x:c>
      <x:c r="D5" s="7" t="str">
        <x:v>Inicio turno</x:v>
      </x:c>
      <x:c r="E5" s="7" t="str">
        <x:v>Fin turno</x:v>
      </x:c>
      <x:c r="F5" s="7" t="str">
        <x:v>Duración horas</x:v>
      </x:c>
      <x:c r="G5" s="7" t="str">
        <x:v>Descanso minutos</x:v>
      </x:c>
      <x:c r="H5" s="7" t="str">
        <x:v>Día libre 1</x:v>
      </x:c>
      <x:c r="I5" s="7" t="str">
        <x:v>Día libre 2</x:v>
      </x:c>
    </x:row>
    <x:row r="6" ht="21" customHeight="1">
      <x:c r="A6" s="8" t="str">
        <x:v>610001</x:v>
      </x:c>
      <x:c r="B6" s="8" t="str">
        <x:v>Laura Rojas</x:v>
      </x:c>
      <x:c r="C6" s="8" t="str">
        <x:v>AM</x:v>
      </x:c>
      <x:c r="D6" s="10" t="n">
        <x:v>0.25</x:v>
      </x:c>
      <x:c r="E6" s="10" t="n">
        <x:v>0.6041666666666666</x:v>
      </x:c>
      <x:c r="F6" s="13" t="n">
        <x:v>8.5</x:v>
      </x:c>
      <x:c r="G6" s="9" t="n">
        <x:v>30</x:v>
      </x:c>
      <x:c r="H6" s="8" t="str">
        <x:v>Lunes</x:v>
      </x:c>
      <x:c r="I6" s="8" t="str">
        <x:v>Martes</x:v>
      </x:c>
    </x:row>
    <x:row r="7" ht="21" customHeight="1">
      <x:c r="A7" s="8" t="str">
        <x:v>610002</x:v>
      </x:c>
      <x:c r="B7" s="8" t="str">
        <x:v>Andrés Moreno</x:v>
      </x:c>
      <x:c r="C7" s="8" t="str">
        <x:v>AM</x:v>
      </x:c>
      <x:c r="D7" s="10" t="n">
        <x:v>0.25</x:v>
      </x:c>
      <x:c r="E7" s="10" t="n">
        <x:v>0.6041666666666666</x:v>
      </x:c>
      <x:c r="F7" s="13" t="n">
        <x:v>8.5</x:v>
      </x:c>
      <x:c r="G7" s="9" t="n">
        <x:v>30</x:v>
      </x:c>
      <x:c r="H7" s="8" t="str">
        <x:v>Lunes</x:v>
      </x:c>
      <x:c r="I7" s="8" t="str">
        <x:v>Martes</x:v>
      </x:c>
    </x:row>
    <x:row r="8" ht="21" customHeight="1">
      <x:c r="A8" s="8" t="str">
        <x:v>610003</x:v>
      </x:c>
      <x:c r="B8" s="8" t="str">
        <x:v>Camila Castro</x:v>
      </x:c>
      <x:c r="C8" s="8" t="str">
        <x:v>AM</x:v>
      </x:c>
      <x:c r="D8" s="10" t="n">
        <x:v>0.25</x:v>
      </x:c>
      <x:c r="E8" s="10" t="n">
        <x:v>0.6041666666666666</x:v>
      </x:c>
      <x:c r="F8" s="13" t="n">
        <x:v>8.5</x:v>
      </x:c>
      <x:c r="G8" s="9" t="n">
        <x:v>30</x:v>
      </x:c>
      <x:c r="H8" s="8" t="str">
        <x:v>Martes</x:v>
      </x:c>
      <x:c r="I8" s="8" t="str">
        <x:v>Miércoles</x:v>
      </x:c>
    </x:row>
    <x:row r="9" ht="21" customHeight="1">
      <x:c r="A9" s="8" t="str">
        <x:v>610004</x:v>
      </x:c>
      <x:c r="B9" s="8" t="str">
        <x:v>Diego Vargas</x:v>
      </x:c>
      <x:c r="C9" s="8" t="str">
        <x:v>AM</x:v>
      </x:c>
      <x:c r="D9" s="10" t="n">
        <x:v>0.25</x:v>
      </x:c>
      <x:c r="E9" s="10" t="n">
        <x:v>0.6041666666666666</x:v>
      </x:c>
      <x:c r="F9" s="13" t="n">
        <x:v>8.5</x:v>
      </x:c>
      <x:c r="G9" s="9" t="n">
        <x:v>30</x:v>
      </x:c>
      <x:c r="H9" s="8" t="str">
        <x:v>Martes</x:v>
      </x:c>
      <x:c r="I9" s="8" t="str">
        <x:v>Miércoles</x:v>
      </x:c>
    </x:row>
    <x:row r="10" ht="21" customHeight="1">
      <x:c r="A10" s="8" t="str">
        <x:v>610005</x:v>
      </x:c>
      <x:c r="B10" s="8" t="str">
        <x:v>Valentina Torres</x:v>
      </x:c>
      <x:c r="C10" s="8" t="str">
        <x:v>AM</x:v>
      </x:c>
      <x:c r="D10" s="10" t="n">
        <x:v>0.25</x:v>
      </x:c>
      <x:c r="E10" s="10" t="n">
        <x:v>0.6041666666666666</x:v>
      </x:c>
      <x:c r="F10" s="13" t="n">
        <x:v>8.5</x:v>
      </x:c>
      <x:c r="G10" s="9" t="n">
        <x:v>30</x:v>
      </x:c>
      <x:c r="H10" s="8" t="str">
        <x:v>Miércoles</x:v>
      </x:c>
      <x:c r="I10" s="8" t="str">
        <x:v>Jueves</x:v>
      </x:c>
    </x:row>
    <x:row r="11" ht="21" customHeight="1">
      <x:c r="A11" s="8" t="str">
        <x:v>610006</x:v>
      </x:c>
      <x:c r="B11" s="8" t="str">
        <x:v>Santiago Ramírez</x:v>
      </x:c>
      <x:c r="C11" s="8" t="str">
        <x:v>AM</x:v>
      </x:c>
      <x:c r="D11" s="10" t="n">
        <x:v>0.25</x:v>
      </x:c>
      <x:c r="E11" s="10" t="n">
        <x:v>0.6041666666666666</x:v>
      </x:c>
      <x:c r="F11" s="13" t="n">
        <x:v>8.5</x:v>
      </x:c>
      <x:c r="G11" s="9" t="n">
        <x:v>30</x:v>
      </x:c>
      <x:c r="H11" s="8" t="str">
        <x:v>Miércoles</x:v>
      </x:c>
      <x:c r="I11" s="8" t="str">
        <x:v>Jueves</x:v>
      </x:c>
    </x:row>
    <x:row r="12" ht="21" customHeight="1">
      <x:c r="A12" s="8" t="str">
        <x:v>610007</x:v>
      </x:c>
      <x:c r="B12" s="8" t="str">
        <x:v>Daniela Herrera</x:v>
      </x:c>
      <x:c r="C12" s="8" t="str">
        <x:v>AM</x:v>
      </x:c>
      <x:c r="D12" s="10" t="n">
        <x:v>0.25</x:v>
      </x:c>
      <x:c r="E12" s="10" t="n">
        <x:v>0.6041666666666666</x:v>
      </x:c>
      <x:c r="F12" s="13" t="n">
        <x:v>8.5</x:v>
      </x:c>
      <x:c r="G12" s="9" t="n">
        <x:v>30</x:v>
      </x:c>
      <x:c r="H12" s="8" t="str">
        <x:v>Jueves</x:v>
      </x:c>
      <x:c r="I12" s="8" t="str">
        <x:v>Viernes</x:v>
      </x:c>
    </x:row>
    <x:row r="13" ht="21" customHeight="1">
      <x:c r="A13" s="8" t="str">
        <x:v>610008</x:v>
      </x:c>
      <x:c r="B13" s="8" t="str">
        <x:v>Mateo Rojas</x:v>
      </x:c>
      <x:c r="C13" s="8" t="str">
        <x:v>AM</x:v>
      </x:c>
      <x:c r="D13" s="10" t="n">
        <x:v>0.25</x:v>
      </x:c>
      <x:c r="E13" s="10" t="n">
        <x:v>0.6041666666666666</x:v>
      </x:c>
      <x:c r="F13" s="13" t="n">
        <x:v>8.5</x:v>
      </x:c>
      <x:c r="G13" s="9" t="n">
        <x:v>30</x:v>
      </x:c>
      <x:c r="H13" s="8" t="str">
        <x:v>Jueves</x:v>
      </x:c>
      <x:c r="I13" s="8" t="str">
        <x:v>Viernes</x:v>
      </x:c>
    </x:row>
    <x:row r="14" ht="21" customHeight="1">
      <x:c r="A14" s="8" t="str">
        <x:v>610009</x:v>
      </x:c>
      <x:c r="B14" s="8" t="str">
        <x:v>Natalia Moreno</x:v>
      </x:c>
      <x:c r="C14" s="8" t="str">
        <x:v>AM</x:v>
      </x:c>
      <x:c r="D14" s="10" t="n">
        <x:v>0.25</x:v>
      </x:c>
      <x:c r="E14" s="10" t="n">
        <x:v>0.6041666666666666</x:v>
      </x:c>
      <x:c r="F14" s="13" t="n">
        <x:v>8.5</x:v>
      </x:c>
      <x:c r="G14" s="9" t="n">
        <x:v>30</x:v>
      </x:c>
      <x:c r="H14" s="8" t="str">
        <x:v>Viernes</x:v>
      </x:c>
      <x:c r="I14" s="8" t="str">
        <x:v>Sábado</x:v>
      </x:c>
    </x:row>
    <x:row r="15" ht="21" customHeight="1">
      <x:c r="A15" s="8" t="str">
        <x:v>610010</x:v>
      </x:c>
      <x:c r="B15" s="8" t="str">
        <x:v>Felipe Castro</x:v>
      </x:c>
      <x:c r="C15" s="8" t="str">
        <x:v>AM</x:v>
      </x:c>
      <x:c r="D15" s="10" t="n">
        <x:v>0.25</x:v>
      </x:c>
      <x:c r="E15" s="10" t="n">
        <x:v>0.6041666666666666</x:v>
      </x:c>
      <x:c r="F15" s="13" t="n">
        <x:v>8.5</x:v>
      </x:c>
      <x:c r="G15" s="9" t="n">
        <x:v>30</x:v>
      </x:c>
      <x:c r="H15" s="8" t="str">
        <x:v>Viernes</x:v>
      </x:c>
      <x:c r="I15" s="8" t="str">
        <x:v>Sábado</x:v>
      </x:c>
    </x:row>
    <x:row r="16" ht="21" customHeight="1">
      <x:c r="A16" s="8" t="str">
        <x:v>610011</x:v>
      </x:c>
      <x:c r="B16" s="8" t="str">
        <x:v>Paula Vargas</x:v>
      </x:c>
      <x:c r="C16" s="8" t="str">
        <x:v>AM</x:v>
      </x:c>
      <x:c r="D16" s="10" t="n">
        <x:v>0.25</x:v>
      </x:c>
      <x:c r="E16" s="10" t="n">
        <x:v>0.6041666666666666</x:v>
      </x:c>
      <x:c r="F16" s="13" t="n">
        <x:v>8.5</x:v>
      </x:c>
      <x:c r="G16" s="9" t="n">
        <x:v>30</x:v>
      </x:c>
      <x:c r="H16" s="8" t="str">
        <x:v>Sábado</x:v>
      </x:c>
      <x:c r="I16" s="8" t="str">
        <x:v>Domingo</x:v>
      </x:c>
    </x:row>
    <x:row r="17" ht="21" customHeight="1">
      <x:c r="A17" s="8" t="str">
        <x:v>610012</x:v>
      </x:c>
      <x:c r="B17" s="8" t="str">
        <x:v>Julián Torres</x:v>
      </x:c>
      <x:c r="C17" s="8" t="str">
        <x:v>AM</x:v>
      </x:c>
      <x:c r="D17" s="10" t="n">
        <x:v>0.25</x:v>
      </x:c>
      <x:c r="E17" s="10" t="n">
        <x:v>0.6041666666666666</x:v>
      </x:c>
      <x:c r="F17" s="13" t="n">
        <x:v>8.5</x:v>
      </x:c>
      <x:c r="G17" s="9" t="n">
        <x:v>30</x:v>
      </x:c>
      <x:c r="H17" s="8" t="str">
        <x:v>Sábado</x:v>
      </x:c>
      <x:c r="I17" s="8" t="str">
        <x:v>Domingo</x:v>
      </x:c>
    </x:row>
    <x:row r="18" ht="21" customHeight="1">
      <x:c r="A18" s="8" t="str">
        <x:v>610013</x:v>
      </x:c>
      <x:c r="B18" s="8" t="str">
        <x:v>Carolina Ramírez</x:v>
      </x:c>
      <x:c r="C18" s="8" t="str">
        <x:v>AM</x:v>
      </x:c>
      <x:c r="D18" s="10" t="n">
        <x:v>0.25</x:v>
      </x:c>
      <x:c r="E18" s="10" t="n">
        <x:v>0.6041666666666666</x:v>
      </x:c>
      <x:c r="F18" s="13" t="n">
        <x:v>8.5</x:v>
      </x:c>
      <x:c r="G18" s="9" t="n">
        <x:v>30</x:v>
      </x:c>
      <x:c r="H18" s="8" t="str">
        <x:v>Domingo</x:v>
      </x:c>
      <x:c r="I18" s="8" t="str">
        <x:v>Lunes</x:v>
      </x:c>
    </x:row>
    <x:row r="19" ht="21" customHeight="1">
      <x:c r="A19" s="8" t="str">
        <x:v>610014</x:v>
      </x:c>
      <x:c r="B19" s="8" t="str">
        <x:v>David Herrera</x:v>
      </x:c>
      <x:c r="C19" s="8" t="str">
        <x:v>AM</x:v>
      </x:c>
      <x:c r="D19" s="10" t="n">
        <x:v>0.25</x:v>
      </x:c>
      <x:c r="E19" s="10" t="n">
        <x:v>0.6041666666666666</x:v>
      </x:c>
      <x:c r="F19" s="13" t="n">
        <x:v>8.5</x:v>
      </x:c>
      <x:c r="G19" s="9" t="n">
        <x:v>30</x:v>
      </x:c>
      <x:c r="H19" s="8" t="str">
        <x:v>Domingo</x:v>
      </x:c>
      <x:c r="I19" s="8" t="str">
        <x:v>Lunes</x:v>
      </x:c>
    </x:row>
    <x:row r="20" ht="21" customHeight="1">
      <x:c r="A20" s="8" t="str">
        <x:v>610015</x:v>
      </x:c>
      <x:c r="B20" s="8" t="str">
        <x:v>Mariana Rojas</x:v>
      </x:c>
      <x:c r="C20" s="8" t="str">
        <x:v>PM</x:v>
      </x:c>
      <x:c r="D20" s="10" t="n">
        <x:v>0.5625</x:v>
      </x:c>
      <x:c r="E20" s="10" t="n">
        <x:v>0.9166666666666666</x:v>
      </x:c>
      <x:c r="F20" s="13" t="n">
        <x:v>8.5</x:v>
      </x:c>
      <x:c r="G20" s="9" t="n">
        <x:v>30</x:v>
      </x:c>
      <x:c r="H20" s="8" t="str">
        <x:v>Lunes</x:v>
      </x:c>
      <x:c r="I20" s="8" t="str">
        <x:v>Martes</x:v>
      </x:c>
    </x:row>
    <x:row r="21" ht="21" customHeight="1">
      <x:c r="A21" s="8" t="str">
        <x:v>610016</x:v>
      </x:c>
      <x:c r="B21" s="8" t="str">
        <x:v>Sebastián Moreno</x:v>
      </x:c>
      <x:c r="C21" s="8" t="str">
        <x:v>PM</x:v>
      </x:c>
      <x:c r="D21" s="10" t="n">
        <x:v>0.5625</x:v>
      </x:c>
      <x:c r="E21" s="10" t="n">
        <x:v>0.9166666666666666</x:v>
      </x:c>
      <x:c r="F21" s="13" t="n">
        <x:v>8.5</x:v>
      </x:c>
      <x:c r="G21" s="9" t="n">
        <x:v>30</x:v>
      </x:c>
      <x:c r="H21" s="8" t="str">
        <x:v>Lunes</x:v>
      </x:c>
      <x:c r="I21" s="8" t="str">
        <x:v>Martes</x:v>
      </x:c>
    </x:row>
    <x:row r="22" ht="21" customHeight="1">
      <x:c r="A22" s="8" t="str">
        <x:v>610017</x:v>
      </x:c>
      <x:c r="B22" s="8" t="str">
        <x:v>Andrea Castro</x:v>
      </x:c>
      <x:c r="C22" s="8" t="str">
        <x:v>PM</x:v>
      </x:c>
      <x:c r="D22" s="10" t="n">
        <x:v>0.5625</x:v>
      </x:c>
      <x:c r="E22" s="10" t="n">
        <x:v>0.9166666666666666</x:v>
      </x:c>
      <x:c r="F22" s="13" t="n">
        <x:v>8.5</x:v>
      </x:c>
      <x:c r="G22" s="9" t="n">
        <x:v>30</x:v>
      </x:c>
      <x:c r="H22" s="8" t="str">
        <x:v>Martes</x:v>
      </x:c>
      <x:c r="I22" s="8" t="str">
        <x:v>Miércoles</x:v>
      </x:c>
    </x:row>
    <x:row r="23" ht="21" customHeight="1">
      <x:c r="A23" s="8" t="str">
        <x:v>610018</x:v>
      </x:c>
      <x:c r="B23" s="8" t="str">
        <x:v>Nicolás Vargas</x:v>
      </x:c>
      <x:c r="C23" s="8" t="str">
        <x:v>PM</x:v>
      </x:c>
      <x:c r="D23" s="10" t="n">
        <x:v>0.5625</x:v>
      </x:c>
      <x:c r="E23" s="10" t="n">
        <x:v>0.9166666666666666</x:v>
      </x:c>
      <x:c r="F23" s="13" t="n">
        <x:v>8.5</x:v>
      </x:c>
      <x:c r="G23" s="9" t="n">
        <x:v>30</x:v>
      </x:c>
      <x:c r="H23" s="8" t="str">
        <x:v>Martes</x:v>
      </x:c>
      <x:c r="I23" s="8" t="str">
        <x:v>Miércoles</x:v>
      </x:c>
    </x:row>
    <x:row r="24" ht="21" customHeight="1">
      <x:c r="A24" s="8" t="str">
        <x:v>610019</x:v>
      </x:c>
      <x:c r="B24" s="8" t="str">
        <x:v>Diana Torres</x:v>
      </x:c>
      <x:c r="C24" s="8" t="str">
        <x:v>PM</x:v>
      </x:c>
      <x:c r="D24" s="10" t="n">
        <x:v>0.5625</x:v>
      </x:c>
      <x:c r="E24" s="10" t="n">
        <x:v>0.9166666666666666</x:v>
      </x:c>
      <x:c r="F24" s="13" t="n">
        <x:v>8.5</x:v>
      </x:c>
      <x:c r="G24" s="9" t="n">
        <x:v>30</x:v>
      </x:c>
      <x:c r="H24" s="8" t="str">
        <x:v>Miércoles</x:v>
      </x:c>
      <x:c r="I24" s="8" t="str">
        <x:v>Jueves</x:v>
      </x:c>
    </x:row>
    <x:row r="25" ht="21" customHeight="1">
      <x:c r="A25" s="8" t="str">
        <x:v>610020</x:v>
      </x:c>
      <x:c r="B25" s="8" t="str">
        <x:v>Juan Ramírez</x:v>
      </x:c>
      <x:c r="C25" s="8" t="str">
        <x:v>PM</x:v>
      </x:c>
      <x:c r="D25" s="10" t="n">
        <x:v>0.5625</x:v>
      </x:c>
      <x:c r="E25" s="10" t="n">
        <x:v>0.9166666666666666</x:v>
      </x:c>
      <x:c r="F25" s="13" t="n">
        <x:v>8.5</x:v>
      </x:c>
      <x:c r="G25" s="9" t="n">
        <x:v>30</x:v>
      </x:c>
      <x:c r="H25" s="8" t="str">
        <x:v>Miércoles</x:v>
      </x:c>
      <x:c r="I25" s="8" t="str">
        <x:v>Jueves</x:v>
      </x:c>
    </x:row>
    <x:row r="26" ht="21" customHeight="1">
      <x:c r="A26" s="8" t="str">
        <x:v>610021</x:v>
      </x:c>
      <x:c r="B26" s="8" t="str">
        <x:v>Sara Herrera</x:v>
      </x:c>
      <x:c r="C26" s="8" t="str">
        <x:v>PM</x:v>
      </x:c>
      <x:c r="D26" s="10" t="n">
        <x:v>0.5625</x:v>
      </x:c>
      <x:c r="E26" s="10" t="n">
        <x:v>0.9166666666666666</x:v>
      </x:c>
      <x:c r="F26" s="13" t="n">
        <x:v>8.5</x:v>
      </x:c>
      <x:c r="G26" s="9" t="n">
        <x:v>30</x:v>
      </x:c>
      <x:c r="H26" s="8" t="str">
        <x:v>Jueves</x:v>
      </x:c>
      <x:c r="I26" s="8" t="str">
        <x:v>Viernes</x:v>
      </x:c>
    </x:row>
    <x:row r="27" ht="21" customHeight="1">
      <x:c r="A27" s="8" t="str">
        <x:v>610022</x:v>
      </x:c>
      <x:c r="B27" s="8" t="str">
        <x:v>Esteban Rojas</x:v>
      </x:c>
      <x:c r="C27" s="8" t="str">
        <x:v>PM</x:v>
      </x:c>
      <x:c r="D27" s="10" t="n">
        <x:v>0.5625</x:v>
      </x:c>
      <x:c r="E27" s="10" t="n">
        <x:v>0.9166666666666666</x:v>
      </x:c>
      <x:c r="F27" s="13" t="n">
        <x:v>8.5</x:v>
      </x:c>
      <x:c r="G27" s="9" t="n">
        <x:v>30</x:v>
      </x:c>
      <x:c r="H27" s="8" t="str">
        <x:v>Jueves</x:v>
      </x:c>
      <x:c r="I27" s="8" t="str">
        <x:v>Viernes</x:v>
      </x:c>
    </x:row>
    <x:row r="28" ht="21" customHeight="1">
      <x:c r="A28" s="8" t="str">
        <x:v>610023</x:v>
      </x:c>
      <x:c r="B28" s="8" t="str">
        <x:v>Liliana Moreno</x:v>
      </x:c>
      <x:c r="C28" s="8" t="str">
        <x:v>PM</x:v>
      </x:c>
      <x:c r="D28" s="10" t="n">
        <x:v>0.5625</x:v>
      </x:c>
      <x:c r="E28" s="10" t="n">
        <x:v>0.9166666666666666</x:v>
      </x:c>
      <x:c r="F28" s="13" t="n">
        <x:v>8.5</x:v>
      </x:c>
      <x:c r="G28" s="9" t="n">
        <x:v>30</x:v>
      </x:c>
      <x:c r="H28" s="8" t="str">
        <x:v>Viernes</x:v>
      </x:c>
      <x:c r="I28" s="8" t="str">
        <x:v>Sábado</x:v>
      </x:c>
    </x:row>
    <x:row r="29" ht="21" customHeight="1">
      <x:c r="A29" s="8" t="str">
        <x:v>610024</x:v>
      </x:c>
      <x:c r="B29" s="8" t="str">
        <x:v>Carlos Castro</x:v>
      </x:c>
      <x:c r="C29" s="8" t="str">
        <x:v>PM</x:v>
      </x:c>
      <x:c r="D29" s="10" t="n">
        <x:v>0.5625</x:v>
      </x:c>
      <x:c r="E29" s="10" t="n">
        <x:v>0.9166666666666666</x:v>
      </x:c>
      <x:c r="F29" s="13" t="n">
        <x:v>8.5</x:v>
      </x:c>
      <x:c r="G29" s="9" t="n">
        <x:v>30</x:v>
      </x:c>
      <x:c r="H29" s="8" t="str">
        <x:v>Viernes</x:v>
      </x:c>
      <x:c r="I29" s="8" t="str">
        <x:v>Sábado</x:v>
      </x:c>
    </x:row>
    <x:row r="30" ht="21" customHeight="1">
      <x:c r="A30" s="8" t="str">
        <x:v>610025</x:v>
      </x:c>
      <x:c r="B30" s="8" t="str">
        <x:v>Luisa Vargas</x:v>
      </x:c>
      <x:c r="C30" s="8" t="str">
        <x:v>PM</x:v>
      </x:c>
      <x:c r="D30" s="10" t="n">
        <x:v>0.5625</x:v>
      </x:c>
      <x:c r="E30" s="10" t="n">
        <x:v>0.9166666666666666</x:v>
      </x:c>
      <x:c r="F30" s="13" t="n">
        <x:v>8.5</x:v>
      </x:c>
      <x:c r="G30" s="9" t="n">
        <x:v>30</x:v>
      </x:c>
      <x:c r="H30" s="8" t="str">
        <x:v>Sábado</x:v>
      </x:c>
      <x:c r="I30" s="8" t="str">
        <x:v>Domingo</x:v>
      </x:c>
    </x:row>
    <x:row r="31" ht="21" customHeight="1">
      <x:c r="A31" s="8" t="str">
        <x:v>610026</x:v>
      </x:c>
      <x:c r="B31" s="8" t="str">
        <x:v>Ricardo Torres</x:v>
      </x:c>
      <x:c r="C31" s="8" t="str">
        <x:v>PM</x:v>
      </x:c>
      <x:c r="D31" s="10" t="n">
        <x:v>0.5625</x:v>
      </x:c>
      <x:c r="E31" s="10" t="n">
        <x:v>0.9166666666666666</x:v>
      </x:c>
      <x:c r="F31" s="13" t="n">
        <x:v>8.5</x:v>
      </x:c>
      <x:c r="G31" s="9" t="n">
        <x:v>30</x:v>
      </x:c>
      <x:c r="H31" s="8" t="str">
        <x:v>Sábado</x:v>
      </x:c>
      <x:c r="I31" s="8" t="str">
        <x:v>Domingo</x:v>
      </x:c>
    </x:row>
    <x:row r="32" ht="21" customHeight="1">
      <x:c r="A32" s="8" t="str">
        <x:v>610027</x:v>
      </x:c>
      <x:c r="B32" s="8" t="str">
        <x:v>Ángela Ramírez</x:v>
      </x:c>
      <x:c r="C32" s="8" t="str">
        <x:v>PM</x:v>
      </x:c>
      <x:c r="D32" s="10" t="n">
        <x:v>0.5625</x:v>
      </x:c>
      <x:c r="E32" s="10" t="n">
        <x:v>0.9166666666666666</x:v>
      </x:c>
      <x:c r="F32" s="13" t="n">
        <x:v>8.5</x:v>
      </x:c>
      <x:c r="G32" s="9" t="n">
        <x:v>30</x:v>
      </x:c>
      <x:c r="H32" s="8" t="str">
        <x:v>Domingo</x:v>
      </x:c>
      <x:c r="I32" s="8" t="str">
        <x:v>Lunes</x:v>
      </x:c>
    </x:row>
    <x:row r="33" ht="21" customHeight="1">
      <x:c r="A33" s="8" t="str">
        <x:v>610028</x:v>
      </x:c>
      <x:c r="B33" s="8" t="str">
        <x:v>Miguel Herrera</x:v>
      </x:c>
      <x:c r="C33" s="8" t="str">
        <x:v>PM</x:v>
      </x:c>
      <x:c r="D33" s="10" t="n">
        <x:v>0.5625</x:v>
      </x:c>
      <x:c r="E33" s="10" t="n">
        <x:v>0.9166666666666666</x:v>
      </x:c>
      <x:c r="F33" s="13" t="n">
        <x:v>8.5</x:v>
      </x:c>
      <x:c r="G33" s="9" t="n">
        <x:v>30</x:v>
      </x:c>
      <x:c r="H33" s="8" t="str">
        <x:v>Domingo</x:v>
      </x:c>
      <x:c r="I33" s="8" t="str">
        <x:v>Lunes</x:v>
      </x:c>
    </x:row>
  </x:sheetData>
  <x:pageMargins left="0.7" right="0.7" top="0.75" bottom="0.75" header="0.3" footer="0.3"/>
  <x:tableParts count="1">
    <x:tablePart xmlns:r="http://schemas.openxmlformats.org/officeDocument/2006/relationships" r:id="R76ce33915e464d56"/>
  </x:tableParts>
</x:worksheet>
</file>