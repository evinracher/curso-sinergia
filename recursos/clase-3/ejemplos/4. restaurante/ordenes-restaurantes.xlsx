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5e4594976544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Órdenes" sheetId="1" r:id="Rd2f1c9d8379240b2"/>
    <x:sheet xmlns:r="http://schemas.openxmlformats.org/officeDocument/2006/relationships" name="Detalle" sheetId="2" r:id="Rb2724b6103dc47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$&quot;#,##0"/>
    <x:numFmt numFmtId="201" formatCode="h:mm AM/PM"/>
  </x:numFmts>
  <x:fonts count="6">
    <x:font>
      <x:sz val="11"/>
      <x:name val="Carlito"/>
    </x:font>
    <x:font>
      <x:sz val="11"/>
      <x:color rgb="FF292524"/>
      <x:name val="Arial"/>
    </x:font>
    <x:font>
      <x:b/>
      <x:sz val="16"/>
      <x:color rgb="FF292524"/>
      <x:name val="Arial"/>
    </x:font>
    <x:font>
      <x:i/>
      <x:sz val="11"/>
      <x:color rgb="FF57534E"/>
      <x:name val="Arial"/>
    </x:font>
    <x:font>
      <x:b/>
      <x:sz val="11"/>
      <x:color rgb="FFFFFFFF"/>
      <x:name val="Arial"/>
    </x:font>
    <x:font>
      <x:b/>
      <x:sz val="11"/>
      <x:color rgb="FF29252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713F12"/>
      </x:patternFill>
    </x:fill>
    <x:fill>
      <x:patternFill patternType="solid">
        <x:fgColor rgb="FFFEF3C7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14cfd2a7f3455a" /><Relationship Type="http://schemas.openxmlformats.org/officeDocument/2006/relationships/theme" Target="/xl/theme/theme1.xml" Id="R7e33289dd69a4759" /><Relationship Type="http://schemas.openxmlformats.org/officeDocument/2006/relationships/sharedStrings" Target="/xl/sharedStrings.xml" Id="R6f6963ce7cc74834" /><Relationship Type="http://schemas.openxmlformats.org/officeDocument/2006/relationships/worksheet" Target="/xl/worksheets/sheet1.xml" Id="Rd2f1c9d8379240b2" /><Relationship Type="http://schemas.openxmlformats.org/officeDocument/2006/relationships/worksheet" Target="/xl/worksheets/sheet2.xml" Id="Rb2724b6103dc47d5" /></Relationships>
</file>

<file path=xl/tables/table1.xml><?xml version="1.0" encoding="utf-8"?>
<x:table xmlns:x="http://schemas.openxmlformats.org/spreadsheetml/2006/main" id="1" name="OrdenesKevinHam" displayName="OrdenesKevinHam" ref="A8:I16" headerRowCount="1" totalsRowCount="0" totalsRowShown="0">
  <x:tableColumns count="9">
    <x:tableColumn id="1" name="Pedido"/>
    <x:tableColumn id="2" name="Fecha (sin año)"/>
    <x:tableColumn id="3" name="Hora"/>
    <x:tableColumn id="4" name="Mesa"/>
    <x:tableColumn id="5" name="Total calculado"/>
    <x:tableColumn id="6" name="Total en foto"/>
    <x:tableColumn id="7" name="Diferencia¹"/>
    <x:tableColumn id="8" name="Revisión"/>
    <x:tableColumn id="9" name="Foto de orige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talleKevinHam" displayName="DetalleKevinHam" ref="A6:G23" headerRowCount="1" totalsRowCount="0" totalsRowShown="0">
  <x:tableColumns count="7">
    <x:tableColumn id="1" name="Pedido"/>
    <x:tableColumn id="2" name="Producto"/>
    <x:tableColumn id="3" name="Variedad"/>
    <x:tableColumn id="4" name="Cantidad"/>
    <x:tableColumn id="5" name="Precio unitario"/>
    <x:tableColumn id="6" name="Importe"/>
    <x:tableColumn id="7" name="Foto de orige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a03c14e8184a7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2b8e638e9b44f4f" /></Relationships>
</file>

<file path=xl/worksheets/sheet1.xml><?xml version="1.0" encoding="utf-8"?>
<x:worksheet xmlns:x="http://schemas.openxmlformats.org/spreadsheetml/2006/main">
  <x:sheetPr>
    <x:tabColor rgb="FF713F12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15" hidden="0" customWidth="1"/>
    <x:col min="4" max="4" width="10" hidden="0" customWidth="1"/>
    <x:col min="5" max="5" width="21" hidden="0" customWidth="1"/>
    <x:col min="6" max="6" width="21" hidden="0" customWidth="1"/>
    <x:col min="7" max="7" width="20" hidden="0" customWidth="1"/>
    <x:col min="8" max="8" width="22" hidden="0" customWidth="1"/>
    <x:col min="9" max="9" width="2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3" t="str">
        <x:v>Kevin Ham · Órdenes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>
      <x:c r="A4" s="2" t="str">
        <x:v>Total calculado</x:v>
      </x:c>
      <x:c r="B4" s="4" t="n">
        <x:f>IF(COUNTIFS(E9:E16,"Pendiente")&gt;0,"Pendiente",SUM(E9:E16))</x:f>
        <x:v>201000</x:v>
      </x:c>
      <x:c r="C4" s="2"/>
      <x:c r="D4" s="2" t="str">
        <x:v>Pedidos</x:v>
      </x:c>
      <x:c r="E4" s="16" t="n">
        <x:f>COUNTA(A9:A16)</x:f>
        <x:v>8</x:v>
      </x:c>
      <x:c r="F4" s="2" t="str">
        <x:v>Diferencia total</x:v>
      </x:c>
      <x:c r="G4" s="4" t="n">
        <x:f>IF(COUNTIFS(G9:G16,"Pendiente")&gt;0,"Pendiente",SUM(G9:G16))</x:f>
        <x:v>5000</x:v>
      </x:c>
      <x:c r="H4" s="2"/>
      <x:c r="I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>
      <x:c r="A6" s="5" t="str">
        <x:v>Fechas sin año en las fotos. Importes con los precios confirmados en este chat.</x:v>
      </x:c>
      <x:c r="B6" s="2"/>
      <x:c r="C6" s="2"/>
      <x:c r="D6" s="2"/>
      <x:c r="E6" s="2"/>
      <x:c r="F6" s="2"/>
      <x:c r="G6" s="2"/>
      <x:c r="H6" s="2"/>
      <x:c r="I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</x:row>
    <x:row r="8" ht="34" customHeight="1">
      <x:c r="A8" s="9" t="str">
        <x:v>Pedido</x:v>
      </x:c>
      <x:c r="B8" s="9" t="str">
        <x:v>Fecha (sin año)</x:v>
      </x:c>
      <x:c r="C8" s="9" t="str">
        <x:v>Hora</x:v>
      </x:c>
      <x:c r="D8" s="9" t="str">
        <x:v>Mesa</x:v>
      </x:c>
      <x:c r="E8" s="9" t="str">
        <x:v>Total calculado</x:v>
      </x:c>
      <x:c r="F8" s="9" t="str">
        <x:v>Total en foto</x:v>
      </x:c>
      <x:c r="G8" s="9" t="str">
        <x:v>Diferencia¹</x:v>
      </x:c>
      <x:c r="H8" s="9" t="str">
        <x:v>Revisión</x:v>
      </x:c>
      <x:c r="I8" s="9" t="str">
        <x:v>Foto de origen</x:v>
      </x:c>
    </x:row>
    <x:row r="9" ht="28" customHeight="1">
      <x:c r="A9" s="2" t="str">
        <x:v>KH-4708</x:v>
      </x:c>
      <x:c r="B9" s="2" t="str">
        <x:v>8 de septiembre</x:v>
      </x:c>
      <x:c r="C9" s="13" t="n">
        <x:v>0.7430555555555556</x:v>
      </x:c>
      <x:c r="D9" s="2" t="n">
        <x:v>2</x:v>
      </x:c>
      <x:c r="E9" s="14" t="n">
        <x:f>IF(COUNTIFS('Detalle'!$A$7:$A$23,A9,'Detalle'!$F$7:$F$23,"Pendiente")&gt;0,"Pendiente",SUMIFS('Detalle'!$F$7:$F$23,'Detalle'!$A$7:$A$23,A9))</x:f>
        <x:v>20000</x:v>
      </x:c>
      <x:c r="F9" s="14" t="n">
        <x:v>20000</x:v>
      </x:c>
      <x:c r="G9" s="14" t="n">
        <x:f>IF(ISNUMBER(E9),E9-F9,"Pendiente")</x:f>
        <x:v>0</x:v>
      </x:c>
      <x:c r="H9" s="16" t="str">
        <x:f>IF(ISNUMBER(G9),IF(G9=0,"Coincide","Revisar total"),"Falta precio")</x:f>
        <x:v>Coincide</x:v>
      </x:c>
      <x:c r="I9" s="16" t="str">
        <x:v>IMG_4708.HEIC</x:v>
      </x:c>
    </x:row>
    <x:row r="10" ht="28" customHeight="1">
      <x:c r="A10" s="2" t="str">
        <x:v>KH-4704</x:v>
      </x:c>
      <x:c r="B10" s="2" t="str">
        <x:v>8 de septiembre</x:v>
      </x:c>
      <x:c r="C10" s="13" t="n">
        <x:v>0.7909722222222222</x:v>
      </x:c>
      <x:c r="D10" s="2" t="n">
        <x:v>4</x:v>
      </x:c>
      <x:c r="E10" s="14" t="n">
        <x:f>IF(COUNTIFS('Detalle'!$A$7:$A$23,A10,'Detalle'!$F$7:$F$23,"Pendiente")&gt;0,"Pendiente",SUMIFS('Detalle'!$F$7:$F$23,'Detalle'!$A$7:$A$23,A10))</x:f>
        <x:v>20000</x:v>
      </x:c>
      <x:c r="F10" s="14" t="n">
        <x:v>20000</x:v>
      </x:c>
      <x:c r="G10" s="14" t="n">
        <x:f>IF(ISNUMBER(E10),E10-F10,"Pendiente")</x:f>
        <x:v>0</x:v>
      </x:c>
      <x:c r="H10" s="16" t="str">
        <x:f>IF(ISNUMBER(G10),IF(G10=0,"Coincide","Revisar total"),"Falta precio")</x:f>
        <x:v>Coincide</x:v>
      </x:c>
      <x:c r="I10" s="16" t="str">
        <x:v>IMG_4704.HEIC</x:v>
      </x:c>
    </x:row>
    <x:row r="11" ht="28" customHeight="1">
      <x:c r="A11" s="2" t="str">
        <x:v>KH-4705</x:v>
      </x:c>
      <x:c r="B11" s="2" t="str">
        <x:v>8 de septiembre</x:v>
      </x:c>
      <x:c r="C11" s="13" t="n">
        <x:v>0.8027777777777778</x:v>
      </x:c>
      <x:c r="D11" s="2" t="n">
        <x:v>1</x:v>
      </x:c>
      <x:c r="E11" s="14" t="n">
        <x:f>IF(COUNTIFS('Detalle'!$A$7:$A$23,A11,'Detalle'!$F$7:$F$23,"Pendiente")&gt;0,"Pendiente",SUMIFS('Detalle'!$F$7:$F$23,'Detalle'!$A$7:$A$23,A11))</x:f>
        <x:v>18000</x:v>
      </x:c>
      <x:c r="F11" s="14" t="n">
        <x:v>18000</x:v>
      </x:c>
      <x:c r="G11" s="14" t="n">
        <x:f>IF(ISNUMBER(E11),E11-F11,"Pendiente")</x:f>
        <x:v>0</x:v>
      </x:c>
      <x:c r="H11" s="16" t="str">
        <x:f>IF(ISNUMBER(G11),IF(G11=0,"Coincide","Revisar total"),"Falta precio")</x:f>
        <x:v>Coincide</x:v>
      </x:c>
      <x:c r="I11" s="16" t="str">
        <x:v>IMG_4705.HEIC</x:v>
      </x:c>
    </x:row>
    <x:row r="12" ht="28" customHeight="1">
      <x:c r="A12" s="2" t="str">
        <x:v>KH-4711</x:v>
      </x:c>
      <x:c r="B12" s="2" t="str">
        <x:v>8 de septiembre</x:v>
      </x:c>
      <x:c r="C12" s="13" t="n">
        <x:v>0.8333333333333334</x:v>
      </x:c>
      <x:c r="D12" s="2" t="n">
        <x:v>3</x:v>
      </x:c>
      <x:c r="E12" s="14" t="n">
        <x:f>IF(COUNTIFS('Detalle'!$A$7:$A$23,A12,'Detalle'!$F$7:$F$23,"Pendiente")&gt;0,"Pendiente",SUMIFS('Detalle'!$F$7:$F$23,'Detalle'!$A$7:$A$23,A12))</x:f>
        <x:v>43000</x:v>
      </x:c>
      <x:c r="F12" s="14" t="n">
        <x:v>38000</x:v>
      </x:c>
      <x:c r="G12" s="14" t="n">
        <x:f>IF(ISNUMBER(E12),E12-F12,"Pendiente")</x:f>
        <x:v>5000</x:v>
      </x:c>
      <x:c r="H12" s="16" t="str">
        <x:f>IF(ISNUMBER(G12),IF(G12=0,"Coincide","Revisar total"),"Falta precio")</x:f>
        <x:v>Revisar total</x:v>
      </x:c>
      <x:c r="I12" s="16" t="str">
        <x:v>IMG_4711.HEIC</x:v>
      </x:c>
    </x:row>
    <x:row r="13" ht="28" customHeight="1">
      <x:c r="A13" s="2" t="str">
        <x:v>KH-4710</x:v>
      </x:c>
      <x:c r="B13" s="2" t="str">
        <x:v>9 de septiembre</x:v>
      </x:c>
      <x:c r="C13" s="13" t="n">
        <x:v>0.74375</x:v>
      </x:c>
      <x:c r="D13" s="2" t="n">
        <x:v>4</x:v>
      </x:c>
      <x:c r="E13" s="14" t="n">
        <x:f>IF(COUNTIFS('Detalle'!$A$7:$A$23,A13,'Detalle'!$F$7:$F$23,"Pendiente")&gt;0,"Pendiente",SUMIFS('Detalle'!$F$7:$F$23,'Detalle'!$A$7:$A$23,A13))</x:f>
        <x:v>40000</x:v>
      </x:c>
      <x:c r="F13" s="14" t="n">
        <x:v>40000</x:v>
      </x:c>
      <x:c r="G13" s="14" t="n">
        <x:f>IF(ISNUMBER(E13),E13-F13,"Pendiente")</x:f>
        <x:v>0</x:v>
      </x:c>
      <x:c r="H13" s="16" t="str">
        <x:f>IF(ISNUMBER(G13),IF(G13=0,"Coincide","Revisar total"),"Falta precio")</x:f>
        <x:v>Coincide</x:v>
      </x:c>
      <x:c r="I13" s="16" t="str">
        <x:v>IMG_4710.HEIC</x:v>
      </x:c>
    </x:row>
    <x:row r="14" ht="28" customHeight="1">
      <x:c r="A14" s="2" t="str">
        <x:v>KH-4706</x:v>
      </x:c>
      <x:c r="B14" s="2" t="str">
        <x:v>9 de septiembre</x:v>
      </x:c>
      <x:c r="C14" s="13" t="n">
        <x:v>0.7847222222222222</x:v>
      </x:c>
      <x:c r="D14" s="2" t="n">
        <x:v>2</x:v>
      </x:c>
      <x:c r="E14" s="14" t="n">
        <x:f>IF(COUNTIFS('Detalle'!$A$7:$A$23,A14,'Detalle'!$F$7:$F$23,"Pendiente")&gt;0,"Pendiente",SUMIFS('Detalle'!$F$7:$F$23,'Detalle'!$A$7:$A$23,A14))</x:f>
        <x:v>25000</x:v>
      </x:c>
      <x:c r="F14" s="14" t="n">
        <x:v>25000</x:v>
      </x:c>
      <x:c r="G14" s="14" t="n">
        <x:f>IF(ISNUMBER(E14),E14-F14,"Pendiente")</x:f>
        <x:v>0</x:v>
      </x:c>
      <x:c r="H14" s="16" t="str">
        <x:f>IF(ISNUMBER(G14),IF(G14=0,"Coincide","Revisar total"),"Falta precio")</x:f>
        <x:v>Coincide</x:v>
      </x:c>
      <x:c r="I14" s="16" t="str">
        <x:v>IMG_4706.HEIC</x:v>
      </x:c>
    </x:row>
    <x:row r="15" ht="28" customHeight="1">
      <x:c r="A15" s="2" t="str">
        <x:v>KH-4707</x:v>
      </x:c>
      <x:c r="B15" s="2" t="str">
        <x:v>9 de septiembre</x:v>
      </x:c>
      <x:c r="C15" s="13" t="n">
        <x:v>0.7916666666666666</x:v>
      </x:c>
      <x:c r="D15" s="2" t="n">
        <x:v>3</x:v>
      </x:c>
      <x:c r="E15" s="14" t="n">
        <x:f>IF(COUNTIFS('Detalle'!$A$7:$A$23,A15,'Detalle'!$F$7:$F$23,"Pendiente")&gt;0,"Pendiente",SUMIFS('Detalle'!$F$7:$F$23,'Detalle'!$A$7:$A$23,A15))</x:f>
        <x:v>17000</x:v>
      </x:c>
      <x:c r="F15" s="14" t="n">
        <x:v>17000</x:v>
      </x:c>
      <x:c r="G15" s="14" t="n">
        <x:f>IF(ISNUMBER(E15),E15-F15,"Pendiente")</x:f>
        <x:v>0</x:v>
      </x:c>
      <x:c r="H15" s="16" t="str">
        <x:f>IF(ISNUMBER(G15),IF(G15=0,"Coincide","Revisar total"),"Falta precio")</x:f>
        <x:v>Coincide</x:v>
      </x:c>
      <x:c r="I15" s="16" t="str">
        <x:v>IMG_4707.HEIC</x:v>
      </x:c>
    </x:row>
    <x:row r="16" ht="28" customHeight="1">
      <x:c r="A16" s="2" t="str">
        <x:v>KH-4709</x:v>
      </x:c>
      <x:c r="B16" s="2" t="str">
        <x:v>9 de septiembre</x:v>
      </x:c>
      <x:c r="C16" s="13" t="n">
        <x:v>0.8125</x:v>
      </x:c>
      <x:c r="D16" s="2" t="n">
        <x:v>4</x:v>
      </x:c>
      <x:c r="E16" s="14" t="n">
        <x:f>IF(COUNTIFS('Detalle'!$A$7:$A$23,A16,'Detalle'!$F$7:$F$23,"Pendiente")&gt;0,"Pendiente",SUMIFS('Detalle'!$F$7:$F$23,'Detalle'!$A$7:$A$23,A16))</x:f>
        <x:v>18000</x:v>
      </x:c>
      <x:c r="F16" s="14" t="n">
        <x:v>18000</x:v>
      </x:c>
      <x:c r="G16" s="14" t="n">
        <x:f>IF(ISNUMBER(E16),E16-F16,"Pendiente")</x:f>
        <x:v>0</x:v>
      </x:c>
      <x:c r="H16" s="16" t="str">
        <x:f>IF(ISNUMBER(G16),IF(G16=0,"Coincide","Revisar total"),"Falta precio")</x:f>
        <x:v>Coincide</x:v>
      </x:c>
      <x:c r="I16" s="16" t="str">
        <x:v>IMG_4709.HEIC</x:v>
      </x:c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</x:row>
    <x:row r="19">
      <x:c r="A19" s="2" t="str">
        <x:v>¹ Diferencia = total calculado − total anotado en la foto.</x:v>
      </x:c>
      <x:c r="B19" s="2"/>
      <x:c r="C19" s="2"/>
      <x:c r="D19" s="2"/>
      <x:c r="E19" s="2"/>
      <x:c r="F19" s="2"/>
      <x:c r="G19" s="2"/>
      <x:c r="H19" s="2"/>
      <x:c r="I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</x:row>
    <x:row r="21">
      <x:c r="A21" s="2" t="str">
        <x:v>IMG_4711.HEIC: 1 perro caliente, 1 hamburguesa especial y 2 Coca-Cola.</x:v>
      </x:c>
      <x:c r="B21" s="2"/>
      <x:c r="C21" s="2"/>
      <x:c r="D21" s="2"/>
      <x:c r="E21" s="2"/>
      <x:c r="F21" s="2"/>
      <x:c r="G21" s="2"/>
      <x:c r="H21" s="2"/>
      <x:c r="I21" s="2"/>
    </x:row>
    <x:row r="22">
      <x:c r="A22" s="2" t="str">
        <x:v>La foto anota $38.000. Con los precios confirmados, el pedido suma $43.000.</x:v>
      </x:c>
      <x:c r="B22" s="2"/>
      <x:c r="C22" s="2"/>
      <x:c r="D22" s="2"/>
      <x:c r="E22" s="2"/>
      <x:c r="F22" s="2"/>
      <x:c r="G22" s="2"/>
      <x:c r="H22" s="2"/>
      <x:c r="I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</x:row>
  </x:sheetData>
  <x:conditionalFormatting sqref="G9:H16">
    <x:cfRule type="expression" dxfId="0" priority="1">
      <x:formula>AND(ISNUMBER($G9),$G9&lt;&gt;0)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ca03c14e8184a7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32" hidden="0" customWidth="1"/>
    <x:col min="3" max="3" width="20" hidden="0" customWidth="1"/>
    <x:col min="4" max="4" width="13" hidden="0" customWidth="1"/>
    <x:col min="5" max="5" width="22" hidden="0" customWidth="1"/>
    <x:col min="6" max="6" width="20" hidden="0" customWidth="1"/>
    <x:col min="7" max="7" width="25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Kevin Ham · Detalle de productos</x:v>
      </x:c>
      <x:c r="B2" s="2"/>
      <x:c r="C2" s="2"/>
      <x:c r="D2" s="2"/>
      <x:c r="E2" s="2"/>
      <x:c r="F2" s="2"/>
      <x:c r="G2" s="2"/>
    </x:row>
    <x:row r="3">
      <x:c r="A3" s="2"/>
      <x:c r="B3" s="2"/>
      <x:c r="C3" s="2"/>
      <x:c r="D3" s="2"/>
      <x:c r="E3" s="2"/>
      <x:c r="F3" s="2"/>
      <x:c r="G3" s="2"/>
    </x:row>
    <x:row r="4">
      <x:c r="A4" s="2" t="str">
        <x:v>Cada fila corresponde a un producto de una orden.</x:v>
      </x:c>
      <x:c r="B4" s="2"/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 ht="34" customHeight="1">
      <x:c r="A6" s="9" t="str">
        <x:v>Pedido</x:v>
      </x:c>
      <x:c r="B6" s="9" t="str">
        <x:v>Producto</x:v>
      </x:c>
      <x:c r="C6" s="9" t="str">
        <x:v>Variedad</x:v>
      </x:c>
      <x:c r="D6" s="9" t="str">
        <x:v>Cantidad</x:v>
      </x:c>
      <x:c r="E6" s="9" t="str">
        <x:v>Precio unitario</x:v>
      </x:c>
      <x:c r="F6" s="9" t="str">
        <x:v>Importe</x:v>
      </x:c>
      <x:c r="G6" s="9" t="str">
        <x:v>Foto de origen</x:v>
      </x:c>
    </x:row>
    <x:row r="7" ht="25" customHeight="1">
      <x:c r="A7" s="2" t="str">
        <x:v>KH-4708</x:v>
      </x:c>
      <x:c r="B7" s="2" t="str">
        <x:v>Hamburguesa Clásica</x:v>
      </x:c>
      <x:c r="C7" s="2" t="str"/>
      <x:c r="D7" s="15" t="n">
        <x:v>1</x:v>
      </x:c>
      <x:c r="E7" s="14" t="n">
        <x:f>IF(ISBLANK(INDEX($C$28:$C$32,MATCH(B7,$B$28:$B$32,0))),"Pendiente",VLOOKUP(B7,$B$28:$C$32,2,FALSE))</x:f>
        <x:v>15000</x:v>
      </x:c>
      <x:c r="F7" s="14" t="n">
        <x:f>IF(ISNUMBER(E7),D7*E7,"Pendiente")</x:f>
        <x:v>15000</x:v>
      </x:c>
      <x:c r="G7" s="16" t="str">
        <x:v>IMG_4708.HEIC</x:v>
      </x:c>
    </x:row>
    <x:row r="8" ht="25" customHeight="1">
      <x:c r="A8" s="2" t="str">
        <x:v>KH-4708</x:v>
      </x:c>
      <x:c r="B8" s="2" t="str">
        <x:v>Gaseosas</x:v>
      </x:c>
      <x:c r="C8" s="2" t="str">
        <x:v>Coca-Cola</x:v>
      </x:c>
      <x:c r="D8" s="15" t="n">
        <x:v>1</x:v>
      </x:c>
      <x:c r="E8" s="14" t="n">
        <x:f>IF(ISBLANK(INDEX($C$28:$C$32,MATCH(B8,$B$28:$B$32,0))),"Pendiente",VLOOKUP(B8,$B$28:$C$32,2,FALSE))</x:f>
        <x:v>5000</x:v>
      </x:c>
      <x:c r="F8" s="14" t="n">
        <x:f>IF(ISNUMBER(E8),D8*E8,"Pendiente")</x:f>
        <x:v>5000</x:v>
      </x:c>
      <x:c r="G8" s="16" t="str">
        <x:v>IMG_4708.HEIC</x:v>
      </x:c>
    </x:row>
    <x:row r="9" ht="25" customHeight="1">
      <x:c r="A9" s="2" t="str">
        <x:v>KH-4704</x:v>
      </x:c>
      <x:c r="B9" s="2" t="str">
        <x:v>Hamburguesa Clásica</x:v>
      </x:c>
      <x:c r="C9" s="2" t="str"/>
      <x:c r="D9" s="15" t="n">
        <x:v>1</x:v>
      </x:c>
      <x:c r="E9" s="14" t="n">
        <x:f>IF(ISBLANK(INDEX($C$28:$C$32,MATCH(B9,$B$28:$B$32,0))),"Pendiente",VLOOKUP(B9,$B$28:$C$32,2,FALSE))</x:f>
        <x:v>15000</x:v>
      </x:c>
      <x:c r="F9" s="14" t="n">
        <x:f>IF(ISNUMBER(E9),D9*E9,"Pendiente")</x:f>
        <x:v>15000</x:v>
      </x:c>
      <x:c r="G9" s="16" t="str">
        <x:v>IMG_4704.HEIC</x:v>
      </x:c>
    </x:row>
    <x:row r="10" ht="25" customHeight="1">
      <x:c r="A10" s="2" t="str">
        <x:v>KH-4704</x:v>
      </x:c>
      <x:c r="B10" s="2" t="str">
        <x:v>Gaseosas</x:v>
      </x:c>
      <x:c r="C10" s="2" t="str">
        <x:v>Coca-Cola</x:v>
      </x:c>
      <x:c r="D10" s="15" t="n">
        <x:v>1</x:v>
      </x:c>
      <x:c r="E10" s="14" t="n">
        <x:f>IF(ISBLANK(INDEX($C$28:$C$32,MATCH(B10,$B$28:$B$32,0))),"Pendiente",VLOOKUP(B10,$B$28:$C$32,2,FALSE))</x:f>
        <x:v>5000</x:v>
      </x:c>
      <x:c r="F10" s="14" t="n">
        <x:f>IF(ISNUMBER(E10),D10*E10,"Pendiente")</x:f>
        <x:v>5000</x:v>
      </x:c>
      <x:c r="G10" s="16" t="str">
        <x:v>IMG_4704.HEIC</x:v>
      </x:c>
    </x:row>
    <x:row r="11" ht="25" customHeight="1">
      <x:c r="A11" s="2" t="str">
        <x:v>KH-4705</x:v>
      </x:c>
      <x:c r="B11" s="2" t="str">
        <x:v>Perro caliente</x:v>
      </x:c>
      <x:c r="C11" s="2" t="str"/>
      <x:c r="D11" s="15" t="n">
        <x:v>1</x:v>
      </x:c>
      <x:c r="E11" s="14" t="n">
        <x:f>IF(ISBLANK(INDEX($C$28:$C$32,MATCH(B11,$B$28:$B$32,0))),"Pendiente",VLOOKUP(B11,$B$28:$C$32,2,FALSE))</x:f>
        <x:v>13000</x:v>
      </x:c>
      <x:c r="F11" s="14" t="n">
        <x:f>IF(ISNUMBER(E11),D11*E11,"Pendiente")</x:f>
        <x:v>13000</x:v>
      </x:c>
      <x:c r="G11" s="16" t="str">
        <x:v>IMG_4705.HEIC</x:v>
      </x:c>
    </x:row>
    <x:row r="12" ht="25" customHeight="1">
      <x:c r="A12" s="2" t="str">
        <x:v>KH-4705</x:v>
      </x:c>
      <x:c r="B12" s="2" t="str">
        <x:v>Gaseosas</x:v>
      </x:c>
      <x:c r="C12" s="2" t="str">
        <x:v>Sprite</x:v>
      </x:c>
      <x:c r="D12" s="15" t="n">
        <x:v>1</x:v>
      </x:c>
      <x:c r="E12" s="14" t="n">
        <x:f>IF(ISBLANK(INDEX($C$28:$C$32,MATCH(B12,$B$28:$B$32,0))),"Pendiente",VLOOKUP(B12,$B$28:$C$32,2,FALSE))</x:f>
        <x:v>5000</x:v>
      </x:c>
      <x:c r="F12" s="14" t="n">
        <x:f>IF(ISNUMBER(E12),D12*E12,"Pendiente")</x:f>
        <x:v>5000</x:v>
      </x:c>
      <x:c r="G12" s="16" t="str">
        <x:v>IMG_4705.HEIC</x:v>
      </x:c>
    </x:row>
    <x:row r="13" ht="25" customHeight="1">
      <x:c r="A13" s="2" t="str">
        <x:v>KH-4711</x:v>
      </x:c>
      <x:c r="B13" s="2" t="str">
        <x:v>Perro caliente</x:v>
      </x:c>
      <x:c r="C13" s="2" t="str"/>
      <x:c r="D13" s="15" t="n">
        <x:v>1</x:v>
      </x:c>
      <x:c r="E13" s="14" t="n">
        <x:f>IF(ISBLANK(INDEX($C$28:$C$32,MATCH(B13,$B$28:$B$32,0))),"Pendiente",VLOOKUP(B13,$B$28:$C$32,2,FALSE))</x:f>
        <x:v>13000</x:v>
      </x:c>
      <x:c r="F13" s="14" t="n">
        <x:f>IF(ISNUMBER(E13),D13*E13,"Pendiente")</x:f>
        <x:v>13000</x:v>
      </x:c>
      <x:c r="G13" s="16" t="str">
        <x:v>IMG_4711.HEIC</x:v>
      </x:c>
    </x:row>
    <x:row r="14" ht="25" customHeight="1">
      <x:c r="A14" s="2" t="str">
        <x:v>KH-4711</x:v>
      </x:c>
      <x:c r="B14" s="2" t="str">
        <x:v>Hamburguesa especial</x:v>
      </x:c>
      <x:c r="C14" s="2" t="str"/>
      <x:c r="D14" s="15" t="n">
        <x:v>1</x:v>
      </x:c>
      <x:c r="E14" s="14" t="n">
        <x:f>IF(ISBLANK(INDEX($C$28:$C$32,MATCH(B14,$B$28:$B$32,0))),"Pendiente",VLOOKUP(B14,$B$28:$C$32,2,FALSE))</x:f>
        <x:v>20000</x:v>
      </x:c>
      <x:c r="F14" s="14" t="n">
        <x:f>IF(ISNUMBER(E14),D14*E14,"Pendiente")</x:f>
        <x:v>20000</x:v>
      </x:c>
      <x:c r="G14" s="16" t="str">
        <x:v>IMG_4711.HEIC</x:v>
      </x:c>
    </x:row>
    <x:row r="15" ht="25" customHeight="1">
      <x:c r="A15" s="2" t="str">
        <x:v>KH-4711</x:v>
      </x:c>
      <x:c r="B15" s="2" t="str">
        <x:v>Gaseosas</x:v>
      </x:c>
      <x:c r="C15" s="2" t="str">
        <x:v>Coca-Cola</x:v>
      </x:c>
      <x:c r="D15" s="15" t="n">
        <x:v>2</x:v>
      </x:c>
      <x:c r="E15" s="14" t="n">
        <x:f>IF(ISBLANK(INDEX($C$28:$C$32,MATCH(B15,$B$28:$B$32,0))),"Pendiente",VLOOKUP(B15,$B$28:$C$32,2,FALSE))</x:f>
        <x:v>5000</x:v>
      </x:c>
      <x:c r="F15" s="14" t="n">
        <x:f>IF(ISNUMBER(E15),D15*E15,"Pendiente")</x:f>
        <x:v>10000</x:v>
      </x:c>
      <x:c r="G15" s="16" t="str">
        <x:v>IMG_4711.HEIC</x:v>
      </x:c>
    </x:row>
    <x:row r="16" ht="25" customHeight="1">
      <x:c r="A16" s="2" t="str">
        <x:v>KH-4710</x:v>
      </x:c>
      <x:c r="B16" s="2" t="str">
        <x:v>Hamburguesa Clásica</x:v>
      </x:c>
      <x:c r="C16" s="2" t="str"/>
      <x:c r="D16" s="15" t="n">
        <x:v>2</x:v>
      </x:c>
      <x:c r="E16" s="14" t="n">
        <x:f>IF(ISBLANK(INDEX($C$28:$C$32,MATCH(B16,$B$28:$B$32,0))),"Pendiente",VLOOKUP(B16,$B$28:$C$32,2,FALSE))</x:f>
        <x:v>15000</x:v>
      </x:c>
      <x:c r="F16" s="14" t="n">
        <x:f>IF(ISNUMBER(E16),D16*E16,"Pendiente")</x:f>
        <x:v>30000</x:v>
      </x:c>
      <x:c r="G16" s="16" t="str">
        <x:v>IMG_4710.HEIC</x:v>
      </x:c>
    </x:row>
    <x:row r="17" ht="25" customHeight="1">
      <x:c r="A17" s="2" t="str">
        <x:v>KH-4710</x:v>
      </x:c>
      <x:c r="B17" s="2" t="str">
        <x:v>Gaseosas</x:v>
      </x:c>
      <x:c r="C17" s="2" t="str">
        <x:v>Coca-Cola</x:v>
      </x:c>
      <x:c r="D17" s="15" t="n">
        <x:v>2</x:v>
      </x:c>
      <x:c r="E17" s="14" t="n">
        <x:f>IF(ISBLANK(INDEX($C$28:$C$32,MATCH(B17,$B$28:$B$32,0))),"Pendiente",VLOOKUP(B17,$B$28:$C$32,2,FALSE))</x:f>
        <x:v>5000</x:v>
      </x:c>
      <x:c r="F17" s="14" t="n">
        <x:f>IF(ISNUMBER(E17),D17*E17,"Pendiente")</x:f>
        <x:v>10000</x:v>
      </x:c>
      <x:c r="G17" s="16" t="str">
        <x:v>IMG_4710.HEIC</x:v>
      </x:c>
    </x:row>
    <x:row r="18" ht="25" customHeight="1">
      <x:c r="A18" s="2" t="str">
        <x:v>KH-4706</x:v>
      </x:c>
      <x:c r="B18" s="2" t="str">
        <x:v>Hamburguesa especial</x:v>
      </x:c>
      <x:c r="C18" s="2" t="str"/>
      <x:c r="D18" s="15" t="n">
        <x:v>1</x:v>
      </x:c>
      <x:c r="E18" s="14" t="n">
        <x:f>IF(ISBLANK(INDEX($C$28:$C$32,MATCH(B18,$B$28:$B$32,0))),"Pendiente",VLOOKUP(B18,$B$28:$C$32,2,FALSE))</x:f>
        <x:v>20000</x:v>
      </x:c>
      <x:c r="F18" s="14" t="n">
        <x:f>IF(ISNUMBER(E18),D18*E18,"Pendiente")</x:f>
        <x:v>20000</x:v>
      </x:c>
      <x:c r="G18" s="16" t="str">
        <x:v>IMG_4706.HEIC</x:v>
      </x:c>
    </x:row>
    <x:row r="19" ht="25" customHeight="1">
      <x:c r="A19" s="2" t="str">
        <x:v>KH-4706</x:v>
      </x:c>
      <x:c r="B19" s="2" t="str">
        <x:v>Gaseosas</x:v>
      </x:c>
      <x:c r="C19" s="2" t="str">
        <x:v>Coca-Cola</x:v>
      </x:c>
      <x:c r="D19" s="15" t="n">
        <x:v>1</x:v>
      </x:c>
      <x:c r="E19" s="14" t="n">
        <x:f>IF(ISBLANK(INDEX($C$28:$C$32,MATCH(B19,$B$28:$B$32,0))),"Pendiente",VLOOKUP(B19,$B$28:$C$32,2,FALSE))</x:f>
        <x:v>5000</x:v>
      </x:c>
      <x:c r="F19" s="14" t="n">
        <x:f>IF(ISNUMBER(E19),D19*E19,"Pendiente")</x:f>
        <x:v>5000</x:v>
      </x:c>
      <x:c r="G19" s="16" t="str">
        <x:v>IMG_4706.HEIC</x:v>
      </x:c>
    </x:row>
    <x:row r="20" ht="25" customHeight="1">
      <x:c r="A20" s="2" t="str">
        <x:v>KH-4707</x:v>
      </x:c>
      <x:c r="B20" s="2" t="str">
        <x:v>Salchipapas</x:v>
      </x:c>
      <x:c r="C20" s="2" t="str"/>
      <x:c r="D20" s="15" t="n">
        <x:v>1</x:v>
      </x:c>
      <x:c r="E20" s="14" t="n">
        <x:f>IF(ISBLANK(INDEX($C$28:$C$32,MATCH(B20,$B$28:$B$32,0))),"Pendiente",VLOOKUP(B20,$B$28:$C$32,2,FALSE))</x:f>
        <x:v>12000</x:v>
      </x:c>
      <x:c r="F20" s="14" t="n">
        <x:f>IF(ISNUMBER(E20),D20*E20,"Pendiente")</x:f>
        <x:v>12000</x:v>
      </x:c>
      <x:c r="G20" s="16" t="str">
        <x:v>IMG_4707.HEIC</x:v>
      </x:c>
    </x:row>
    <x:row r="21" ht="25" customHeight="1">
      <x:c r="A21" s="2" t="str">
        <x:v>KH-4707</x:v>
      </x:c>
      <x:c r="B21" s="2" t="str">
        <x:v>Gaseosas</x:v>
      </x:c>
      <x:c r="C21" s="2" t="str">
        <x:v>Manzana</x:v>
      </x:c>
      <x:c r="D21" s="15" t="n">
        <x:v>1</x:v>
      </x:c>
      <x:c r="E21" s="14" t="n">
        <x:f>IF(ISBLANK(INDEX($C$28:$C$32,MATCH(B21,$B$28:$B$32,0))),"Pendiente",VLOOKUP(B21,$B$28:$C$32,2,FALSE))</x:f>
        <x:v>5000</x:v>
      </x:c>
      <x:c r="F21" s="14" t="n">
        <x:f>IF(ISNUMBER(E21),D21*E21,"Pendiente")</x:f>
        <x:v>5000</x:v>
      </x:c>
      <x:c r="G21" s="16" t="str">
        <x:v>IMG_4707.HEIC</x:v>
      </x:c>
    </x:row>
    <x:row r="22" ht="25" customHeight="1">
      <x:c r="A22" s="2" t="str">
        <x:v>KH-4709</x:v>
      </x:c>
      <x:c r="B22" s="2" t="str">
        <x:v>Perro caliente</x:v>
      </x:c>
      <x:c r="C22" s="2" t="str"/>
      <x:c r="D22" s="15" t="n">
        <x:v>1</x:v>
      </x:c>
      <x:c r="E22" s="14" t="n">
        <x:f>IF(ISBLANK(INDEX($C$28:$C$32,MATCH(B22,$B$28:$B$32,0))),"Pendiente",VLOOKUP(B22,$B$28:$C$32,2,FALSE))</x:f>
        <x:v>13000</x:v>
      </x:c>
      <x:c r="F22" s="14" t="n">
        <x:f>IF(ISNUMBER(E22),D22*E22,"Pendiente")</x:f>
        <x:v>13000</x:v>
      </x:c>
      <x:c r="G22" s="16" t="str">
        <x:v>IMG_4709.HEIC</x:v>
      </x:c>
    </x:row>
    <x:row r="23" ht="25" customHeight="1">
      <x:c r="A23" s="2" t="str">
        <x:v>KH-4709</x:v>
      </x:c>
      <x:c r="B23" s="2" t="str">
        <x:v>Gaseosas</x:v>
      </x:c>
      <x:c r="C23" s="2" t="str">
        <x:v>Sprite</x:v>
      </x:c>
      <x:c r="D23" s="15" t="n">
        <x:v>1</x:v>
      </x:c>
      <x:c r="E23" s="14" t="n">
        <x:f>IF(ISBLANK(INDEX($C$28:$C$32,MATCH(B23,$B$28:$B$32,0))),"Pendiente",VLOOKUP(B23,$B$28:$C$32,2,FALSE))</x:f>
        <x:v>5000</x:v>
      </x:c>
      <x:c r="F23" s="14" t="n">
        <x:f>IF(ISNUMBER(E23),D23*E23,"Pendiente")</x:f>
        <x:v>5000</x:v>
      </x:c>
      <x:c r="G23" s="16" t="str">
        <x:v>IMG_4709.HEIC</x:v>
      </x:c>
    </x:row>
    <x:row r="24">
      <x:c r="A24" s="2"/>
      <x:c r="B24" s="2"/>
      <x:c r="C24" s="2"/>
      <x:c r="D24" s="2"/>
      <x:c r="E24" s="2"/>
      <x:c r="F24" s="2"/>
      <x:c r="G24" s="2"/>
    </x:row>
    <x:row r="25">
      <x:c r="A25" s="2"/>
      <x:c r="B25" s="2"/>
      <x:c r="C25" s="2"/>
      <x:c r="D25" s="2"/>
      <x:c r="E25" s="2"/>
      <x:c r="F25" s="2"/>
      <x:c r="G25" s="2"/>
    </x:row>
    <x:row r="26">
      <x:c r="A26" s="10" t="str">
        <x:v>Precios unitarios</x:v>
      </x:c>
      <x:c r="B26" s="2"/>
      <x:c r="C26" s="2"/>
      <x:c r="D26" s="2"/>
      <x:c r="E26" s="2"/>
      <x:c r="F26" s="2"/>
      <x:c r="G26" s="2"/>
    </x:row>
    <x:row r="27" ht="34" customHeight="1">
      <x:c r="A27" s="2"/>
      <x:c r="B27" s="9" t="str">
        <x:v>Producto</x:v>
      </x:c>
      <x:c r="C27" s="9" t="str">
        <x:v>Precio</x:v>
      </x:c>
      <x:c r="D27" s="2"/>
      <x:c r="E27" s="2"/>
      <x:c r="F27" s="2"/>
      <x:c r="G27" s="2"/>
    </x:row>
    <x:row r="28">
      <x:c r="A28" s="2"/>
      <x:c r="B28" s="2" t="str">
        <x:v>Hamburguesa Clásica</x:v>
      </x:c>
      <x:c r="C28" s="12" t="n">
        <x:v>15000</x:v>
      </x:c>
      <x:c r="D28" s="2"/>
      <x:c r="E28" s="2" t="str">
        <x:v>Precios proporcionados en el chat.</x:v>
      </x:c>
      <x:c r="F28" s="2"/>
      <x:c r="G28" s="2"/>
    </x:row>
    <x:row r="29">
      <x:c r="A29" s="2"/>
      <x:c r="B29" s="2" t="str">
        <x:v>Hamburguesa especial</x:v>
      </x:c>
      <x:c r="C29" s="12" t="n">
        <x:v>20000</x:v>
      </x:c>
      <x:c r="D29" s="2"/>
      <x:c r="E29" s="2" t="str">
        <x:v>Amarillo: precios editables.</x:v>
      </x:c>
      <x:c r="F29" s="2"/>
      <x:c r="G29" s="2"/>
    </x:row>
    <x:row r="30">
      <x:c r="A30" s="2"/>
      <x:c r="B30" s="2" t="str">
        <x:v>Perro caliente</x:v>
      </x:c>
      <x:c r="C30" s="12" t="n">
        <x:v>13000</x:v>
      </x:c>
      <x:c r="D30" s="2"/>
      <x:c r="E30" s="2"/>
      <x:c r="F30" s="2"/>
      <x:c r="G30" s="2"/>
    </x:row>
    <x:row r="31">
      <x:c r="A31" s="2"/>
      <x:c r="B31" s="2" t="str">
        <x:v>Salchipapas</x:v>
      </x:c>
      <x:c r="C31" s="12" t="n">
        <x:v>12000</x:v>
      </x:c>
      <x:c r="D31" s="2"/>
      <x:c r="E31" s="2"/>
      <x:c r="F31" s="2"/>
      <x:c r="G31" s="2"/>
    </x:row>
    <x:row r="32">
      <x:c r="A32" s="2"/>
      <x:c r="B32" s="2" t="str">
        <x:v>Gaseosas</x:v>
      </x:c>
      <x:c r="C32" s="12" t="n">
        <x:v>5000</x:v>
      </x:c>
      <x:c r="D32" s="2"/>
      <x:c r="E32" s="2"/>
      <x:c r="F32" s="2"/>
      <x:c r="G32" s="2"/>
    </x:row>
    <x:row r="33">
      <x:c r="A33" s="2"/>
      <x:c r="B33" s="2"/>
      <x:c r="C33" s="2"/>
      <x:c r="D33" s="2"/>
      <x:c r="E33" s="2"/>
      <x:c r="F33" s="2"/>
      <x:c r="G33" s="2"/>
    </x:row>
    <x:row r="34">
      <x:c r="A34" s="2" t="str">
        <x:v>Cantidad 1 cuando la foto menciona el producto sin una cantidad explícita.</x:v>
      </x:c>
      <x:c r="B34" s="2"/>
      <x:c r="C34" s="2"/>
      <x:c r="D34" s="2"/>
      <x:c r="E34" s="2"/>
      <x:c r="F34" s="2"/>
      <x:c r="G34" s="2"/>
    </x:row>
    <x:row r="35">
      <x:c r="A35" s="2" t="str">
        <x:v>«Ham» se registró como hamburguesa; «cocas», como Coca-Cola.</x:v>
      </x:c>
      <x:c r="B35" s="2"/>
      <x:c r="C35" s="2"/>
      <x:c r="D35" s="2"/>
      <x:c r="E35" s="2"/>
      <x:c r="F35" s="2"/>
      <x:c r="G35" s="2"/>
    </x:row>
    <x:row r="36">
      <x:c r="A36" s="2" t="str">
        <x:v>Coca-Cola, Sprite y Manzana usan el precio de Gaseosas.</x:v>
      </x:c>
      <x:c r="B36" s="2"/>
      <x:c r="C36" s="2"/>
      <x:c r="D36" s="2"/>
      <x:c r="E36" s="2"/>
      <x:c r="F36" s="2"/>
      <x:c r="G36" s="2"/>
    </x:row>
  </x:sheetData>
  <x:pageMargins left="0.7" right="0.7" top="0.75" bottom="0.75" header="0.3" footer="0.3"/>
  <x:tableParts count="1">
    <x:tablePart xmlns:r="http://schemas.openxmlformats.org/officeDocument/2006/relationships" r:id="Rf2b8e638e9b44f4f"/>
  </x:tableParts>
</x:worksheet>
</file>