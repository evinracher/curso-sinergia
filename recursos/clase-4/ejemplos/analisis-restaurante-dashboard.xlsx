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a12e01618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faa932d93184911"/>
    <x:sheet xmlns:r="http://schemas.openxmlformats.org/officeDocument/2006/relationships" name="Análisis mensual" sheetId="2" r:id="R97be8ea873704ade"/>
    <x:sheet xmlns:r="http://schemas.openxmlformats.org/officeDocument/2006/relationships" name="Órdenes" sheetId="3" r:id="Rb8b49a9a8a4340c1"/>
    <x:sheet xmlns:r="http://schemas.openxmlformats.org/officeDocument/2006/relationships" name="Detalle" sheetId="4" r:id="R7fc7522734d8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/mm/yyyy"/>
    <x:numFmt numFmtId="201" formatCode="h:mm AM/PM"/>
    <x:numFmt numFmtId="202" formatCode="&quot;$&quot;#,##0"/>
    <x:numFmt numFmtId="203" formatCode="mm/yyyy"/>
    <x:numFmt numFmtId="204" formatCode="0.0%"/>
    <x:numFmt numFmtId="205" formatCode="0.00"/>
    <x:numFmt numFmtId="206" formatCode="#,##0"/>
  </x:numFmts>
  <x:fonts count="5">
    <x:font>
      <x:sz val="11"/>
      <x:name val="Carlito"/>
    </x:font>
    <x:font>
      <x:sz val="11"/>
      <x:color rgb="FF292524"/>
      <x:name val="Arial"/>
    </x:font>
    <x:font>
      <x:b/>
      <x:sz val="16"/>
      <x:color rgb="FF713F12"/>
      <x:name val="Arial"/>
    </x:font>
    <x:font>
      <x:b/>
      <x:sz val="11"/>
      <x:color rgb="FFFFFFFF"/>
      <x:name val="Arial"/>
    </x:font>
    <x:font>
      <x:b/>
      <x:sz val="11"/>
      <x:color rgb="FF2925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13F12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4f1f715f34a5c" /><Relationship Type="http://schemas.openxmlformats.org/officeDocument/2006/relationships/theme" Target="/xl/theme/theme1.xml" Id="R45fa4ef7f5564417" /><Relationship Type="http://schemas.openxmlformats.org/officeDocument/2006/relationships/sharedStrings" Target="/xl/sharedStrings.xml" Id="Rde2131bf8a344cf9" /><Relationship Type="http://schemas.openxmlformats.org/officeDocument/2006/relationships/worksheet" Target="/xl/worksheets/sheet1.xml" Id="Rffaa932d93184911" /><Relationship Type="http://schemas.openxmlformats.org/officeDocument/2006/relationships/worksheet" Target="/xl/worksheets/sheet2.xml" Id="R97be8ea873704ade" /><Relationship Type="http://schemas.openxmlformats.org/officeDocument/2006/relationships/worksheet" Target="/xl/worksheets/sheet3.xml" Id="Rb8b49a9a8a4340c1" /><Relationship Type="http://schemas.openxmlformats.org/officeDocument/2006/relationships/worksheet" Target="/xl/worksheets/sheet4.xml" Id="R7fc7522734d84b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2ec469f0ca4362" /><Relationship Type="http://schemas.openxmlformats.org/officeDocument/2006/relationships/chart" Target="/xl/drawings/charts/chart2.xml" Id="Rcb665cae568d4464" /><Relationship Type="http://schemas.openxmlformats.org/officeDocument/2006/relationships/chart" Target="/xl/drawings/charts/chart3.xml" Id="R6774452e972f40d8" /><Relationship Type="http://schemas.openxmlformats.org/officeDocument/2006/relationships/chart" Target="/xl/drawings/charts/chart4.xml" Id="R2bbcf21324984f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Ventas por mes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Ventas</c:v>
          </c:tx>
          <c:spPr>
            <a:solidFill xmlns:a="http://schemas.openxmlformats.org/drawingml/2006/main">
              <a:srgbClr val="B45309"/>
            </a:solidFill>
          </c:spPr>
          <c:cat>
            <c:strRef>
              <c:f>'Análisis mensual'!$K$60:$K$67</c:f>
              <c:strCache>
                <c:ptCount val="0"/>
              </c:strCache>
            </c:strRef>
          </c:cat>
          <c:val>
            <c:numRef>
              <c:f>'Análisis mensual'!$L$60:$L$67</c:f>
              <c:numCache>
                <c:formatCode>"$"0.0,," M"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Ticket promedio por mes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Ticket promedio</c:v>
          </c:tx>
          <c:spPr>
            <a:solidFill xmlns:a="http://schemas.openxmlformats.org/drawingml/2006/main">
              <a:srgbClr val="1D4ED8"/>
            </a:solidFill>
            <a:ln xmlns:a="http://schemas.openxmlformats.org/drawingml/2006/main" w="19050">
              <a:solidFill>
                <a:srgbClr val="1D4ED8"/>
              </a:solidFill>
              <a:prstDash val="solid"/>
            </a:ln>
          </c:spPr>
          <c:marker>
            <c:symbol val="none"/>
          </c:marker>
          <c:cat>
            <c:strRef>
              <c:f>'Análisis mensual'!$K$60:$K$67</c:f>
              <c:strCache>
                <c:ptCount val="0"/>
              </c:strCache>
            </c:strRef>
          </c:cat>
          <c:val>
            <c:numRef>
              <c:f>'Análisis mensual'!$M$60:$M$67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Ventas por día de la semana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Ventas</c:v>
          </c:tx>
          <c:spPr>
            <a:solidFill xmlns:a="http://schemas.openxmlformats.org/drawingml/2006/main">
              <a:srgbClr val="B45309"/>
            </a:solidFill>
          </c:spPr>
          <c:cat>
            <c:strRef>
              <c:f>'Análisis mensual'!$K$33:$K$38</c:f>
              <c:strCache>
                <c:ptCount val="0"/>
              </c:strCache>
            </c:strRef>
          </c:cat>
          <c:val>
            <c:numRef>
              <c:f>'Análisis mensual'!$L$33:$L$38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Productos más vendidos · Unidades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Unidades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'Análisis mensual'!$P$45:$P$49</c:f>
              <c:strCache>
                <c:ptCount val="0"/>
              </c:strCache>
            </c:strRef>
          </c:cat>
          <c:val>
            <c:numRef>
              <c:f>'Análisis mensual'!$Q$45:$Q$49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2ec469f0ca4362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665cae568d4464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74452e972f40d8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bcf21324984f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osOrdenes" displayName="DatosOrdenes" ref="A6:J334" headerRowCount="1" totalsRowCount="0" totalsRowShown="0">
  <x:tableColumns count="10">
    <x:tableColumn id="1" name="Pedido"/>
    <x:tableColumn id="2" name="Fecha"/>
    <x:tableColumn id="3" name="Hora"/>
    <x:tableColumn id="4" name="Mesa"/>
    <x:tableColumn id="5" name="Venta de la orden"/>
    <x:tableColumn id="6" name="Revisión"/>
    <x:tableColumn id="7" name="Mes"/>
    <x:tableColumn id="8" name="Día ISO"/>
    <x:tableColumn id="9" name="Primera orden del día"/>
    <x:tableColumn id="10" name="Incluye gaseos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osDetalle" displayName="DatosDetalle" ref="A6:H923" headerRowCount="1" totalsRowCount="0" totalsRowShown="0">
  <x:tableColumns count="8">
    <x:tableColumn id="1" name="Pedido"/>
    <x:tableColumn id="2" name="Producto"/>
    <x:tableColumn id="3" name="Variedad"/>
    <x:tableColumn id="4" name="Cantidad"/>
    <x:tableColumn id="5" name="Precio unitario"/>
    <x:tableColumn id="6" name="Importe"/>
    <x:tableColumn id="7" name="Fecha de la orden"/>
    <x:tableColumn id="8" name="M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34e92dab9048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233c9fbc5084a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beabffae2194c41" /></Relationships>
</file>

<file path=xl/worksheets/sheet1.xml><?xml version="1.0" encoding="utf-8"?>
<x:worksheet xmlns:x="http://schemas.openxmlformats.org/spreadsheetml/2006/main">
  <x:sheetPr>
    <x:tabColor rgb="FF713F12"/>
  </x:sheetPr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8" hidden="0" customWidth="1"/>
    <x:col min="11" max="11" width="10" hidden="0" customWidth="1"/>
    <x:col min="12" max="12" width="10" hidden="0" customWidth="1"/>
    <x:col min="13" max="13" width="10" hidden="0" customWidth="1"/>
    <x:col min="14" max="14" width="18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3" t="str">
        <x:v>Kevin Ham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 t="str">
        <x:v>Dashboard de ventas · Enero a agosto de 2026 · DATOS SIMULADOS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3" customHeight="1">
      <x:c r="A5" s="2" t="str">
        <x:v>Ventas totales</x:v>
      </x:c>
      <x:c r="B5" s="2"/>
      <x:c r="C5" s="2"/>
      <x:c r="D5" s="2"/>
      <x:c r="E5" s="2"/>
      <x:c r="F5" s="2" t="str">
        <x:v>Órdenes</x:v>
      </x:c>
      <x:c r="G5" s="2"/>
      <x:c r="H5" s="2"/>
      <x:c r="I5" s="2"/>
      <x:c r="J5" s="2" t="str">
        <x:v>Ticket promedio</x:v>
      </x:c>
      <x:c r="K5" s="2"/>
      <x:c r="L5" s="2"/>
      <x:c r="M5" s="2"/>
      <x:c r="N5" s="2" t="str">
        <x:v>Unidades vendidas</x:v>
      </x:c>
      <x:c r="O5" s="2"/>
      <x:c r="P5" s="2"/>
      <x:c r="Q5" s="2"/>
    </x:row>
    <x:row r="6" ht="30" customHeight="1">
      <x:c r="A6" s="15" t="n">
        <x:f>'Análisis mensual'!L4</x:f>
        <x:v>12087000</x:v>
      </x:c>
      <x:c r="B6" s="2"/>
      <x:c r="C6" s="2"/>
      <x:c r="D6" s="2"/>
      <x:c r="E6" s="2"/>
      <x:c r="F6" s="17" t="n">
        <x:f>'Análisis mensual'!L5</x:f>
        <x:v>328</x:v>
      </x:c>
      <x:c r="G6" s="2"/>
      <x:c r="H6" s="2"/>
      <x:c r="I6" s="2"/>
      <x:c r="J6" s="15" t="n">
        <x:f>'Análisis mensual'!L6</x:f>
        <x:v>36850.60975609756</x:v>
      </x:c>
      <x:c r="K6" s="2"/>
      <x:c r="L6" s="2"/>
      <x:c r="M6" s="2"/>
      <x:c r="N6" s="17" t="n">
        <x:f>'Análisis mensual'!L11</x:f>
        <x:v>1114</x:v>
      </x:c>
      <x:c r="O6" s="2"/>
      <x:c r="P6" s="2"/>
      <x:c r="Q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 t="str">
        <x:v>Ticket global ponderado por órdenes. Productos comparados por unidades.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18" t="str">
        <x:v>Resultados del período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 t="str">
        <x:f>"Mayor venta mensual: "&amp;INDEX('Análisis mensual'!K60:K67,MATCH(MAX('Análisis mensual'!C7:C14),'Análisis mensual'!C7:C14,0))&amp;" ("&amp;TEXT(MAX('Análisis mensual'!C7:C14),"$#,##0")&amp;")."</x:f>
        <x:v>Mayor venta mensual: Ago ($1,883,000).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 t="str">
        <x:f>"Día con más ventas: "&amp;INDEX('Análisis mensual'!K33:K38,MATCH(MAX('Análisis mensual'!L33:L38),'Análisis mensual'!L33:L38,0))&amp;". Viernes a domingo: "&amp;TEXT('Análisis mensual'!L16,"0.0%")&amp;" de las ventas."</x:f>
        <x:v>Día con más ventas: Sábado. Viernes a domingo: 78.6% de las ventas.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 t="str">
        <x:f>"Alimento líder por unidades: "&amp;INDEX('Análisis mensual'!K46:K49,MATCH(MAX('Análisis mensual'!L46:L49),'Análisis mensual'!L46:L49,0))&amp;" ("&amp;TEXT(MAX('Análisis mensual'!L46:L49),"#,##0")&amp;" unidades)."</x:f>
        <x:v>Alimento líder por unidades: Hamburguesa Clásica (267 unidades).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 t="str">
        <x:v>Consulta Análisis mensual para los líderes de cada mes y la distribución completa por día y producto.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 t="str">
        <x:v>La muestra contiene entre 34 y 48 órdenes por mes. Describe datos ficticios; no estima la demanda real.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 t="str">
        <x:v>Fuente: ordenes-restaurante-completo.xlsx. Copia de los registros en Órdenes y Detalle.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</x:sheetData>
  <x:pageMargins left="0.7" right="0.7" top="0.75" bottom="0.75" header="0.3" footer="0.3"/>
  <x:drawing xmlns:r="http://schemas.openxmlformats.org/officeDocument/2006/relationships" r:id="R2a34e92dab904855"/>
</x:worksheet>
</file>

<file path=xl/worksheets/sheet2.xml><?xml version="1.0" encoding="utf-8"?>
<x:worksheet xmlns:x="http://schemas.openxmlformats.org/spreadsheetml/2006/main">
  <x:sheetPr>
    <x:tabColor rgb="FF713F12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24" hidden="0" customWidth="1"/>
    <x:col min="5" max="5" width="24" hidden="0" customWidth="1"/>
    <x:col min="6" max="6" width="26" hidden="0" customWidth="1"/>
    <x:col min="7" max="7" width="30" hidden="0" customWidth="1"/>
    <x:col min="8" max="8" width="31" hidden="0" customWidth="1"/>
    <x:col min="9" max="9" width="15" hidden="0" customWidth="1"/>
    <x:col min="10" max="10" width="4" hidden="0" customWidth="1"/>
    <x:col min="11" max="11" width="35" hidden="0" customWidth="1"/>
    <x:col min="12" max="12" width="22" hidden="0" customWidth="1"/>
    <x:col min="13" max="13" width="23" hidden="0" customWidth="1"/>
    <x:col min="14" max="14" width="27" hidden="0" customWidth="1"/>
    <x:col min="15" max="15" width="23" hidden="0" customWidth="1"/>
    <x:col min="16" max="16" width="28" hidden="0" customWidth="1"/>
    <x:col min="17" max="17" width="17" hidden="0" customWidth="1"/>
    <x:col min="18" max="18" width="32" hidden="0" customWidth="1"/>
    <x:col min="19" max="19" width="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3" customHeight="1">
      <x:c r="A2" s="3" t="str">
        <x:v>Resumen</x:v>
      </x:c>
      <x:c r="B2" s="2"/>
      <x:c r="C2" s="2"/>
      <x:c r="D2" s="2"/>
      <x:c r="E2" s="2"/>
      <x:c r="F2" s="2"/>
      <x:c r="G2" s="2"/>
      <x:c r="H2" s="2"/>
      <x:c r="I2" s="2"/>
      <x:c r="J2" s="2"/>
      <x:c r="K2" s="3" t="str">
        <x:v>Estadísticos del período</x:v>
      </x:c>
      <x:c r="L2" s="2"/>
      <x:c r="M2" s="2"/>
      <x:c r="N2" s="2"/>
      <x:c r="O2" s="2"/>
      <x:c r="P2" s="2"/>
      <x:c r="Q2" s="2"/>
      <x:c r="R2" s="2"/>
      <x:c r="S2" s="2"/>
    </x:row>
    <x:row r="3" ht="23" customHeight="1">
      <x:c r="A3" s="2" t="str">
        <x:v>Enero a agosto de 2026 · Datos simulados · Importes en pesos, según el archivo de origen.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 t="str">
        <x:v>Ventas totales</x:v>
      </x:c>
      <x:c r="L4" s="10" t="n">
        <x:f>SUM('Órdenes'!$E$7:$E$334)</x:f>
        <x:v>12087000</x:v>
      </x:c>
      <x:c r="M4" s="2"/>
      <x:c r="N4" s="2"/>
      <x:c r="O4" s="2"/>
      <x:c r="P4" s="2"/>
      <x:c r="Q4" s="2"/>
      <x:c r="R4" s="2"/>
      <x:c r="S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 t="str">
        <x:v>Órdenes</x:v>
      </x:c>
      <x:c r="L5" s="2" t="n">
        <x:f>COUNTA('Órdenes'!$A$7:$A$334)</x:f>
        <x:v>328</x:v>
      </x:c>
      <x:c r="M5" s="2"/>
      <x:c r="N5" s="2"/>
      <x:c r="O5" s="2"/>
      <x:c r="P5" s="2"/>
      <x:c r="Q5" s="2"/>
      <x:c r="R5" s="2"/>
      <x:c r="S5" s="2"/>
    </x:row>
    <x:row r="6" ht="34" customHeight="1">
      <x:c r="A6" s="7" t="str">
        <x:v>Mes</x:v>
      </x:c>
      <x:c r="B6" s="7" t="str">
        <x:v>Órdenes</x:v>
      </x:c>
      <x:c r="C6" s="7" t="str">
        <x:v>Ventas totales</x:v>
      </x:c>
      <x:c r="D6" s="7" t="str">
        <x:v>Ticket promedio</x:v>
      </x:c>
      <x:c r="E6" s="7" t="str">
        <x:v>Cambio de ventas</x:v>
      </x:c>
      <x:c r="F6" s="7" t="str">
        <x:v>Día con más ventas</x:v>
      </x:c>
      <x:c r="G6" s="7" t="str">
        <x:v>Producto líder (unidades)</x:v>
      </x:c>
      <x:c r="H6" s="7" t="str">
        <x:v>Alimento líder (unidades)</x:v>
      </x:c>
      <x:c r="I6" s="7" t="str">
        <x:v>Unidades</x:v>
      </x:c>
      <x:c r="J6" s="2"/>
      <x:c r="K6" s="2" t="str">
        <x:v>Ticket promedio</x:v>
      </x:c>
      <x:c r="L6" s="10" t="n">
        <x:f>L4/L5</x:f>
        <x:v>36850.60975609756</x:v>
      </x:c>
      <x:c r="M6" s="2"/>
      <x:c r="N6" s="2"/>
      <x:c r="O6" s="2"/>
      <x:c r="P6" s="2"/>
      <x:c r="Q6" s="2"/>
      <x:c r="R6" s="2"/>
      <x:c r="S6" s="2"/>
    </x:row>
    <x:row r="7" ht="35" customHeight="1">
      <x:c r="A7" s="11" t="n">
        <x:v>46023</x:v>
      </x:c>
      <x:c r="B7" s="2" t="n">
        <x:f>COUNTIFS('Órdenes'!$G$7:$G$334,A7)</x:f>
        <x:v>36</x:v>
      </x:c>
      <x:c r="C7" s="10" t="n">
        <x:f>SUMIFS('Órdenes'!$E$7:$E$334,'Órdenes'!$G$7:$G$334,A7)</x:f>
        <x:v>1253000</x:v>
      </x:c>
      <x:c r="D7" s="10" t="n">
        <x:f>C7/B7</x:f>
        <x:v>34805.555555555555</x:v>
      </x:c>
      <x:c r="E7" s="12" t="str">
        <x:f>""</x:f>
      </x:c>
      <x:c r="F7" s="19" t="str">
        <x:f>_xlfn.TEXTJOIN(" / ",TRUE,IF(B33=MAX(B33:G33),B$32,""),IF(C33=MAX(B33:G33),C$32,""),IF(D33=MAX(B33:G33),D$32,""),IF(E33=MAX(B33:G33),E$32,""),IF(F33=MAX(B33:G33),F$32,""),IF(G33=MAX(B33:G33),G$32,""))</x:f>
        <x:v>Viernes</x:v>
      </x:c>
      <x:c r="G7" s="19" t="str">
        <x:f>_xlfn.TEXTJOIN(" / ",TRUE,IF(B57=MAX(B57:F57),B$56,""),IF(C57=MAX(B57:F57),C$56,""),IF(D57=MAX(B57:F57),D$56,""),IF(E57=MAX(B57:F57),E$56,""),IF(F57=MAX(B57:F57),F$56,""))</x:f>
        <x:v>Gaseosas</x:v>
      </x:c>
      <x:c r="H7" s="19" t="str">
        <x:f>_xlfn.TEXTJOIN(" / ",TRUE,IF(C57=MAX(C57:F57),C$56,""),IF(D57=MAX(C57:F57),D$56,""),IF(E57=MAX(C57:F57),E$56,""),IF(F57=MAX(C57:F57),F$56,""))</x:f>
        <x:v>Hamburguesa especial</x:v>
      </x:c>
      <x:c r="I7" s="2" t="n">
        <x:f>SUMIFS('Detalle'!$D$7:$D$923,'Detalle'!$H$7:$H$923,A7)</x:f>
        <x:v>113</x:v>
      </x:c>
      <x:c r="J7" s="2"/>
      <x:c r="K7" s="2" t="str">
        <x:v>Mediana del ticket</x:v>
      </x:c>
      <x:c r="L7" s="10" t="n">
        <x:f>MEDIAN('Órdenes'!$E$7:$E$334)</x:f>
        <x:v>36000</x:v>
      </x:c>
      <x:c r="M7" s="2"/>
      <x:c r="N7" s="2"/>
      <x:c r="O7" s="2"/>
      <x:c r="P7" s="2"/>
      <x:c r="Q7" s="2"/>
      <x:c r="R7" s="2"/>
      <x:c r="S7" s="2"/>
    </x:row>
    <x:row r="8" ht="35" customHeight="1">
      <x:c r="A8" s="11" t="n">
        <x:v>46054</x:v>
      </x:c>
      <x:c r="B8" s="2" t="n">
        <x:f>COUNTIFS('Órdenes'!$G$7:$G$334,A8)</x:f>
        <x:v>34</x:v>
      </x:c>
      <x:c r="C8" s="10" t="n">
        <x:f>SUMIFS('Órdenes'!$E$7:$E$334,'Órdenes'!$G$7:$G$334,A8)</x:f>
        <x:v>1342000</x:v>
      </x:c>
      <x:c r="D8" s="10" t="n">
        <x:f>C8/B8</x:f>
        <x:v>39470.58823529412</x:v>
      </x:c>
      <x:c r="E8" s="12" t="n">
        <x:f>C8/C7-1</x:f>
        <x:v>0.07102952913008775</x:v>
      </x:c>
      <x:c r="F8" s="19" t="str">
        <x:f>_xlfn.TEXTJOIN(" / ",TRUE,IF(B34=MAX(B34:G34),B$32,""),IF(C34=MAX(B34:G34),C$32,""),IF(D34=MAX(B34:G34),D$32,""),IF(E34=MAX(B34:G34),E$32,""),IF(F34=MAX(B34:G34),F$32,""),IF(G34=MAX(B34:G34),G$32,""))</x:f>
        <x:v>Sábado</x:v>
      </x:c>
      <x:c r="G8" s="19" t="str">
        <x:f>_xlfn.TEXTJOIN(" / ",TRUE,IF(B58=MAX(B58:F58),B$56,""),IF(C58=MAX(B58:F58),C$56,""),IF(D58=MAX(B58:F58),D$56,""),IF(E58=MAX(B58:F58),E$56,""),IF(F58=MAX(B58:F58),F$56,""))</x:f>
        <x:v>Gaseosas</x:v>
      </x:c>
      <x:c r="H8" s="19" t="str">
        <x:f>_xlfn.TEXTJOIN(" / ",TRUE,IF(C58=MAX(C58:F58),C$56,""),IF(D58=MAX(C58:F58),D$56,""),IF(E58=MAX(C58:F58),E$56,""),IF(F58=MAX(C58:F58),F$56,""))</x:f>
        <x:v>Hamburguesa Clásica</x:v>
      </x:c>
      <x:c r="I8" s="2" t="n">
        <x:f>SUMIFS('Detalle'!$D$7:$D$923,'Detalle'!$H$7:$H$923,A8)</x:f>
        <x:v>129</x:v>
      </x:c>
      <x:c r="J8" s="2"/>
      <x:c r="K8" s="2" t="str">
        <x:v>Ticket mínimo</x:v>
      </x:c>
      <x:c r="L8" s="10" t="n">
        <x:f>MIN('Órdenes'!$E$7:$E$334)</x:f>
        <x:v>12000</x:v>
      </x:c>
      <x:c r="M8" s="2"/>
      <x:c r="N8" s="2"/>
      <x:c r="O8" s="2"/>
      <x:c r="P8" s="2"/>
      <x:c r="Q8" s="2"/>
      <x:c r="R8" s="2"/>
      <x:c r="S8" s="2"/>
    </x:row>
    <x:row r="9" ht="35" customHeight="1">
      <x:c r="A9" s="11" t="n">
        <x:v>46082</x:v>
      </x:c>
      <x:c r="B9" s="2" t="n">
        <x:f>COUNTIFS('Órdenes'!$G$7:$G$334,A9)</x:f>
        <x:v>40</x:v>
      </x:c>
      <x:c r="C9" s="10" t="n">
        <x:f>SUMIFS('Órdenes'!$E$7:$E$334,'Órdenes'!$G$7:$G$334,A9)</x:f>
        <x:v>1582000</x:v>
      </x:c>
      <x:c r="D9" s="10" t="n">
        <x:f>C9/B9</x:f>
        <x:v>39550</x:v>
      </x:c>
      <x:c r="E9" s="12" t="n">
        <x:f>C9/C8-1</x:f>
        <x:v>0.1788375558867361</x:v>
      </x:c>
      <x:c r="F9" s="19" t="str">
        <x:f>_xlfn.TEXTJOIN(" / ",TRUE,IF(B35=MAX(B35:G35),B$32,""),IF(C35=MAX(B35:G35),C$32,""),IF(D35=MAX(B35:G35),D$32,""),IF(E35=MAX(B35:G35),E$32,""),IF(F35=MAX(B35:G35),F$32,""),IF(G35=MAX(B35:G35),G$32,""))</x:f>
        <x:v>Sábado</x:v>
      </x:c>
      <x:c r="G9" s="19" t="str">
        <x:f>_xlfn.TEXTJOIN(" / ",TRUE,IF(B59=MAX(B59:F59),B$56,""),IF(C59=MAX(B59:F59),C$56,""),IF(D59=MAX(B59:F59),D$56,""),IF(E59=MAX(B59:F59),E$56,""),IF(F59=MAX(B59:F59),F$56,""))</x:f>
        <x:v>Gaseosas</x:v>
      </x:c>
      <x:c r="H9" s="19" t="str">
        <x:f>_xlfn.TEXTJOIN(" / ",TRUE,IF(C59=MAX(C59:F59),C$56,""),IF(D59=MAX(C59:F59),D$56,""),IF(E59=MAX(C59:F59),E$56,""),IF(F59=MAX(C59:F59),F$56,""))</x:f>
        <x:v>Hamburguesa Clásica</x:v>
      </x:c>
      <x:c r="I9" s="2" t="n">
        <x:f>SUMIFS('Detalle'!$D$7:$D$923,'Detalle'!$H$7:$H$923,A9)</x:f>
        <x:v>144</x:v>
      </x:c>
      <x:c r="J9" s="2"/>
      <x:c r="K9" s="2" t="str">
        <x:v>Ticket máximo</x:v>
      </x:c>
      <x:c r="L9" s="10" t="n">
        <x:f>MAX('Órdenes'!$E$7:$E$334)</x:f>
        <x:v>95000</x:v>
      </x:c>
      <x:c r="M9" s="2"/>
      <x:c r="N9" s="2"/>
      <x:c r="O9" s="2"/>
      <x:c r="P9" s="2"/>
      <x:c r="Q9" s="2"/>
      <x:c r="R9" s="2"/>
      <x:c r="S9" s="2"/>
    </x:row>
    <x:row r="10" ht="35" customHeight="1">
      <x:c r="A10" s="11" t="n">
        <x:v>46113</x:v>
      </x:c>
      <x:c r="B10" s="2" t="n">
        <x:f>COUNTIFS('Órdenes'!$G$7:$G$334,A10)</x:f>
        <x:v>38</x:v>
      </x:c>
      <x:c r="C10" s="10" t="n">
        <x:f>SUMIFS('Órdenes'!$E$7:$E$334,'Órdenes'!$G$7:$G$334,A10)</x:f>
        <x:v>1469000</x:v>
      </x:c>
      <x:c r="D10" s="10" t="n">
        <x:f>C10/B10</x:f>
        <x:v>38657.89473684211</x:v>
      </x:c>
      <x:c r="E10" s="12" t="n">
        <x:f>C10/C9-1</x:f>
        <x:v>-0.0714285714285714</x:v>
      </x:c>
      <x:c r="F10" s="19" t="str">
        <x:f>_xlfn.TEXTJOIN(" / ",TRUE,IF(B36=MAX(B36:G36),B$32,""),IF(C36=MAX(B36:G36),C$32,""),IF(D36=MAX(B36:G36),D$32,""),IF(E36=MAX(B36:G36),E$32,""),IF(F36=MAX(B36:G36),F$32,""),IF(G36=MAX(B36:G36),G$32,""))</x:f>
        <x:v>Sábado</x:v>
      </x:c>
      <x:c r="G10" s="19" t="str">
        <x:f>_xlfn.TEXTJOIN(" / ",TRUE,IF(B60=MAX(B60:F60),B$56,""),IF(C60=MAX(B60:F60),C$56,""),IF(D60=MAX(B60:F60),D$56,""),IF(E60=MAX(B60:F60),E$56,""),IF(F60=MAX(B60:F60),F$56,""))</x:f>
        <x:v>Gaseosas</x:v>
      </x:c>
      <x:c r="H10" s="19" t="str">
        <x:f>_xlfn.TEXTJOIN(" / ",TRUE,IF(C60=MAX(C60:F60),C$56,""),IF(D60=MAX(C60:F60),D$56,""),IF(E60=MAX(C60:F60),E$56,""),IF(F60=MAX(C60:F60),F$56,""))</x:f>
        <x:v>Hamburguesa Clásica</x:v>
      </x:c>
      <x:c r="I10" s="2" t="n">
        <x:f>SUMIFS('Detalle'!$D$7:$D$923,'Detalle'!$H$7:$H$923,A10)</x:f>
        <x:v>135</x:v>
      </x:c>
      <x:c r="J10" s="2"/>
      <x:c r="K10" s="2" t="str">
        <x:v>Desviación del ticket</x:v>
      </x:c>
      <x:c r="L10" s="10" t="n">
        <x:f>STDEV.P('Órdenes'!$E$7:$E$334)</x:f>
        <x:v>18214.48096162414</x:v>
      </x:c>
      <x:c r="M10" s="2"/>
      <x:c r="N10" s="2"/>
      <x:c r="O10" s="2"/>
      <x:c r="P10" s="2"/>
      <x:c r="Q10" s="2"/>
      <x:c r="R10" s="2"/>
      <x:c r="S10" s="2"/>
    </x:row>
    <x:row r="11" ht="35" customHeight="1">
      <x:c r="A11" s="11" t="n">
        <x:v>46143</x:v>
      </x:c>
      <x:c r="B11" s="2" t="n">
        <x:f>COUNTIFS('Órdenes'!$G$7:$G$334,A11)</x:f>
        <x:v>44</x:v>
      </x:c>
      <x:c r="C11" s="10" t="n">
        <x:f>SUMIFS('Órdenes'!$E$7:$E$334,'Órdenes'!$G$7:$G$334,A11)</x:f>
        <x:v>1596000</x:v>
      </x:c>
      <x:c r="D11" s="10" t="n">
        <x:f>C11/B11</x:f>
        <x:v>36272.72727272727</x:v>
      </x:c>
      <x:c r="E11" s="12" t="n">
        <x:f>C11/C10-1</x:f>
        <x:v>0.08645336963921024</x:v>
      </x:c>
      <x:c r="F11" s="19" t="str">
        <x:f>_xlfn.TEXTJOIN(" / ",TRUE,IF(B37=MAX(B37:G37),B$32,""),IF(C37=MAX(B37:G37),C$32,""),IF(D37=MAX(B37:G37),D$32,""),IF(E37=MAX(B37:G37),E$32,""),IF(F37=MAX(B37:G37),F$32,""),IF(G37=MAX(B37:G37),G$32,""))</x:f>
        <x:v>Sábado</x:v>
      </x:c>
      <x:c r="G11" s="19" t="str">
        <x:f>_xlfn.TEXTJOIN(" / ",TRUE,IF(B61=MAX(B61:F61),B$56,""),IF(C61=MAX(B61:F61),C$56,""),IF(D61=MAX(B61:F61),D$56,""),IF(E61=MAX(B61:F61),E$56,""),IF(F61=MAX(B61:F61),F$56,""))</x:f>
        <x:v>Gaseosas</x:v>
      </x:c>
      <x:c r="H11" s="19" t="str">
        <x:f>_xlfn.TEXTJOIN(" / ",TRUE,IF(C61=MAX(C61:F61),C$56,""),IF(D61=MAX(C61:F61),D$56,""),IF(E61=MAX(C61:F61),E$56,""),IF(F61=MAX(C61:F61),F$56,""))</x:f>
        <x:v>Hamburguesa Clásica</x:v>
      </x:c>
      <x:c r="I11" s="2" t="n">
        <x:f>SUMIFS('Detalle'!$D$7:$D$923,'Detalle'!$H$7:$H$923,A11)</x:f>
        <x:v>144</x:v>
      </x:c>
      <x:c r="J11" s="2"/>
      <x:c r="K11" s="2" t="str">
        <x:v>Unidades vendidas</x:v>
      </x:c>
      <x:c r="L11" s="2" t="n">
        <x:f>SUM('Detalle'!$D$7:$D$923)</x:f>
        <x:v>1114</x:v>
      </x:c>
      <x:c r="M11" s="2"/>
      <x:c r="N11" s="2"/>
      <x:c r="O11" s="2"/>
      <x:c r="P11" s="2"/>
      <x:c r="Q11" s="2"/>
      <x:c r="R11" s="2"/>
      <x:c r="S11" s="2"/>
    </x:row>
    <x:row r="12" ht="35" customHeight="1">
      <x:c r="A12" s="11" t="n">
        <x:v>46174</x:v>
      </x:c>
      <x:c r="B12" s="2" t="n">
        <x:f>COUNTIFS('Órdenes'!$G$7:$G$334,A12)</x:f>
        <x:v>42</x:v>
      </x:c>
      <x:c r="C12" s="10" t="n">
        <x:f>SUMIFS('Órdenes'!$E$7:$E$334,'Órdenes'!$G$7:$G$334,A12)</x:f>
        <x:v>1491000</x:v>
      </x:c>
      <x:c r="D12" s="10" t="n">
        <x:f>C12/B12</x:f>
        <x:v>35500</x:v>
      </x:c>
      <x:c r="E12" s="12" t="n">
        <x:f>C12/C11-1</x:f>
        <x:v>-0.06578947368421051</x:v>
      </x:c>
      <x:c r="F12" s="19" t="str">
        <x:f>_xlfn.TEXTJOIN(" / ",TRUE,IF(B38=MAX(B38:G38),B$32,""),IF(C38=MAX(B38:G38),C$32,""),IF(D38=MAX(B38:G38),D$32,""),IF(E38=MAX(B38:G38),E$32,""),IF(F38=MAX(B38:G38),F$32,""),IF(G38=MAX(B38:G38),G$32,""))</x:f>
        <x:v>Sábado</x:v>
      </x:c>
      <x:c r="G12" s="19" t="str">
        <x:f>_xlfn.TEXTJOIN(" / ",TRUE,IF(B62=MAX(B62:F62),B$56,""),IF(C62=MAX(B62:F62),C$56,""),IF(D62=MAX(B62:F62),D$56,""),IF(E62=MAX(B62:F62),E$56,""),IF(F62=MAX(B62:F62),F$56,""))</x:f>
        <x:v>Gaseosas</x:v>
      </x:c>
      <x:c r="H12" s="19" t="str">
        <x:f>_xlfn.TEXTJOIN(" / ",TRUE,IF(C62=MAX(C62:F62),C$56,""),IF(D62=MAX(C62:F62),D$56,""),IF(E62=MAX(C62:F62),E$56,""),IF(F62=MAX(C62:F62),F$56,""))</x:f>
        <x:v>Hamburguesa Clásica</x:v>
      </x:c>
      <x:c r="I12" s="2" t="n">
        <x:f>SUMIFS('Detalle'!$D$7:$D$923,'Detalle'!$H$7:$H$923,A12)</x:f>
        <x:v>143</x:v>
      </x:c>
      <x:c r="J12" s="2"/>
      <x:c r="K12" s="2" t="str">
        <x:v>Unidades por orden</x:v>
      </x:c>
      <x:c r="L12" s="13" t="n">
        <x:f>L11/L5</x:f>
        <x:v>3.3963414634146343</x:v>
      </x:c>
      <x:c r="M12" s="2"/>
      <x:c r="N12" s="2"/>
      <x:c r="O12" s="2"/>
      <x:c r="P12" s="2"/>
      <x:c r="Q12" s="2"/>
      <x:c r="R12" s="2"/>
      <x:c r="S12" s="2"/>
    </x:row>
    <x:row r="13" ht="35" customHeight="1">
      <x:c r="A13" s="11" t="n">
        <x:v>46204</x:v>
      </x:c>
      <x:c r="B13" s="2" t="n">
        <x:f>COUNTIFS('Órdenes'!$G$7:$G$334,A13)</x:f>
        <x:v>48</x:v>
      </x:c>
      <x:c r="C13" s="10" t="n">
        <x:f>SUMIFS('Órdenes'!$E$7:$E$334,'Órdenes'!$G$7:$G$334,A13)</x:f>
        <x:v>1471000</x:v>
      </x:c>
      <x:c r="D13" s="10" t="n">
        <x:f>C13/B13</x:f>
        <x:v>30645.833333333332</x:v>
      </x:c>
      <x:c r="E13" s="12" t="n">
        <x:f>C13/C12-1</x:f>
        <x:v>-0.01341381623071769</x:v>
      </x:c>
      <x:c r="F13" s="19" t="str">
        <x:f>_xlfn.TEXTJOIN(" / ",TRUE,IF(B39=MAX(B39:G39),B$32,""),IF(C39=MAX(B39:G39),C$32,""),IF(D39=MAX(B39:G39),D$32,""),IF(E39=MAX(B39:G39),E$32,""),IF(F39=MAX(B39:G39),F$32,""),IF(G39=MAX(B39:G39),G$32,""))</x:f>
        <x:v>Sábado</x:v>
      </x:c>
      <x:c r="G13" s="19" t="str">
        <x:f>_xlfn.TEXTJOIN(" / ",TRUE,IF(B63=MAX(B63:F63),B$56,""),IF(C63=MAX(B63:F63),C$56,""),IF(D63=MAX(B63:F63),D$56,""),IF(E63=MAX(B63:F63),E$56,""),IF(F63=MAX(B63:F63),F$56,""))</x:f>
        <x:v>Gaseosas</x:v>
      </x:c>
      <x:c r="H13" s="19" t="str">
        <x:f>_xlfn.TEXTJOIN(" / ",TRUE,IF(C63=MAX(C63:F63),C$56,""),IF(D63=MAX(C63:F63),D$56,""),IF(E63=MAX(C63:F63),E$56,""),IF(F63=MAX(C63:F63),F$56,""))</x:f>
        <x:v>Hamburguesa Clásica</x:v>
      </x:c>
      <x:c r="I13" s="2" t="n">
        <x:f>SUMIFS('Detalle'!$D$7:$D$923,'Detalle'!$H$7:$H$923,A13)</x:f>
        <x:v>132</x:v>
      </x:c>
      <x:c r="J13" s="2"/>
      <x:c r="K13" s="2" t="str">
        <x:v>Órdenes con gaseosa</x:v>
      </x:c>
      <x:c r="L13" s="12" t="n">
        <x:f>SUM('Órdenes'!$J$7:$J$334)/L5</x:f>
        <x:v>0.9024390243902439</x:v>
      </x:c>
      <x:c r="M13" s="2"/>
      <x:c r="N13" s="2"/>
      <x:c r="O13" s="2"/>
      <x:c r="P13" s="2"/>
      <x:c r="Q13" s="2"/>
      <x:c r="R13" s="2"/>
      <x:c r="S13" s="2"/>
    </x:row>
    <x:row r="14" ht="35" customHeight="1">
      <x:c r="A14" s="11" t="n">
        <x:v>46235</x:v>
      </x:c>
      <x:c r="B14" s="2" t="n">
        <x:f>COUNTIFS('Órdenes'!$G$7:$G$334,A14)</x:f>
        <x:v>46</x:v>
      </x:c>
      <x:c r="C14" s="10" t="n">
        <x:f>SUMIFS('Órdenes'!$E$7:$E$334,'Órdenes'!$G$7:$G$334,A14)</x:f>
        <x:v>1883000</x:v>
      </x:c>
      <x:c r="D14" s="10" t="n">
        <x:f>C14/B14</x:f>
        <x:v>40934.782608695656</x:v>
      </x:c>
      <x:c r="E14" s="12" t="n">
        <x:f>C14/C13-1</x:f>
        <x:v>0.28008157715839554</x:v>
      </x:c>
      <x:c r="F14" s="19" t="str">
        <x:f>_xlfn.TEXTJOIN(" / ",TRUE,IF(B40=MAX(B40:G40),B$32,""),IF(C40=MAX(B40:G40),C$32,""),IF(D40=MAX(B40:G40),D$32,""),IF(E40=MAX(B40:G40),E$32,""),IF(F40=MAX(B40:G40),F$32,""),IF(G40=MAX(B40:G40),G$32,""))</x:f>
        <x:v>Sábado</x:v>
      </x:c>
      <x:c r="G14" s="19" t="str">
        <x:f>_xlfn.TEXTJOIN(" / ",TRUE,IF(B64=MAX(B64:F64),B$56,""),IF(C64=MAX(B64:F64),C$56,""),IF(D64=MAX(B64:F64),D$56,""),IF(E64=MAX(B64:F64),E$56,""),IF(F64=MAX(B64:F64),F$56,""))</x:f>
        <x:v>Gaseosas</x:v>
      </x:c>
      <x:c r="H14" s="19" t="str">
        <x:f>_xlfn.TEXTJOIN(" / ",TRUE,IF(C64=MAX(C64:F64),C$56,""),IF(D64=MAX(C64:F64),D$56,""),IF(E64=MAX(C64:F64),E$56,""),IF(F64=MAX(C64:F64),F$56,""))</x:f>
        <x:v>Hamburguesa Clásica</x:v>
      </x:c>
      <x:c r="I14" s="2" t="n">
        <x:f>SUMIFS('Detalle'!$D$7:$D$923,'Detalle'!$H$7:$H$923,A14)</x:f>
        <x:v>174</x:v>
      </x:c>
      <x:c r="J14" s="2"/>
      <x:c r="K14" s="2" t="str">
        <x:v>Días con pedidos</x:v>
      </x:c>
      <x:c r="L14" s="2" t="n">
        <x:f>SUM('Órdenes'!$I$7:$I$334)</x:f>
        <x:v>152</x:v>
      </x:c>
      <x:c r="M14" s="2"/>
      <x:c r="N14" s="2"/>
      <x:c r="O14" s="2"/>
      <x:c r="P14" s="2"/>
      <x:c r="Q14" s="2"/>
      <x:c r="R14" s="2"/>
      <x:c r="S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 t="str">
        <x:v>Ventas por día registrado</x:v>
      </x:c>
      <x:c r="L15" s="10" t="n">
        <x:f>L4/L14</x:f>
        <x:v>79519.73684210527</x:v>
      </x:c>
      <x:c r="M15" s="2"/>
      <x:c r="N15" s="2"/>
      <x:c r="O15" s="2"/>
      <x:c r="P15" s="2"/>
      <x:c r="Q15" s="2"/>
      <x:c r="R15" s="2"/>
      <x:c r="S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 t="str">
        <x:v>Venta viernes a domingo</x:v>
      </x:c>
      <x:c r="L16" s="12" t="n">
        <x:f>SUMIFS('Órdenes'!$E$7:$E$334,'Órdenes'!$H$7:$H$334,"&gt;=5")/L4</x:f>
        <x:v>0.7862993298585257</x:v>
      </x:c>
      <x:c r="M16" s="2"/>
      <x:c r="N16" s="2"/>
      <x:c r="O16" s="2"/>
      <x:c r="P16" s="2"/>
      <x:c r="Q16" s="2"/>
      <x:c r="R16" s="2"/>
      <x:c r="S16" s="2"/>
    </x:row>
    <x:row r="17" ht="23" customHeight="1">
      <x:c r="A17" s="2" t="str">
        <x:v>El primer mes no tiene comparación. Los líderes por producto se determinan por unidades e incluyen empates.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34" customHeight="1">
      <x:c r="A19" s="7" t="str">
        <x:v>Mes</x:v>
      </x:c>
      <x:c r="B19" s="7" t="str">
        <x:v>Mediana del ticket</x:v>
      </x:c>
      <x:c r="C19" s="7" t="str">
        <x:v>Ticket mínimo</x:v>
      </x:c>
      <x:c r="D19" s="7" t="str">
        <x:v>Ticket máximo</x:v>
      </x:c>
      <x:c r="E19" s="7" t="str">
        <x:v>Desviación del ticket</x:v>
      </x:c>
      <x:c r="F19" s="7" t="str">
        <x:v>Unidades por orden</x:v>
      </x:c>
      <x:c r="G19" s="7" t="str">
        <x:v>Órdenes con gaseosa</x:v>
      </x:c>
      <x:c r="H19" s="7" t="str">
        <x:v>Días con pedidos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3" customHeight="1">
      <x:c r="A20" s="11" t="n">
        <x:f>A7</x:f>
        <x:v>46023</x:v>
      </x:c>
      <x:c r="B20" s="10" t="n">
        <x:f>MEDIAN('Órdenes'!$E$7:$E$42)</x:f>
        <x:v>27500</x:v>
      </x:c>
      <x:c r="C20" s="10" t="n">
        <x:f>MIN('Órdenes'!$E$7:$E$42)</x:f>
        <x:v>12000</x:v>
      </x:c>
      <x:c r="D20" s="10" t="n">
        <x:f>MAX('Órdenes'!$E$7:$E$42)</x:f>
        <x:v>83000</x:v>
      </x:c>
      <x:c r="E20" s="10" t="n">
        <x:f>STDEV.P('Órdenes'!$E$7:$E$42)</x:f>
        <x:v>19255.330350673816</x:v>
      </x:c>
      <x:c r="F20" s="13" t="n">
        <x:f>I7/B7</x:f>
        <x:v>3.138888888888889</x:v>
      </x:c>
      <x:c r="G20" s="12" t="n">
        <x:f>SUMIFS('Órdenes'!$J$7:$J$334,'Órdenes'!$G$7:$G$334,A20)/B7</x:f>
        <x:v>0.8888888888888888</x:v>
      </x:c>
      <x:c r="H20" s="2" t="n">
        <x:f>SUMIFS('Órdenes'!$I$7:$I$334,'Órdenes'!$G$7:$G$334,A20)</x:f>
        <x:v>19</x:v>
      </x:c>
      <x:c r="I20" s="2"/>
      <x:c r="J20" s="2"/>
      <x:c r="K20" s="2" t="str">
        <x:v>Lectura de los datos</x:v>
      </x:c>
      <x:c r="L20" s="2"/>
      <x:c r="M20" s="2"/>
      <x:c r="N20" s="2"/>
      <x:c r="O20" s="2"/>
      <x:c r="P20" s="2"/>
      <x:c r="Q20" s="2"/>
      <x:c r="R20" s="2"/>
      <x:c r="S20" s="2"/>
    </x:row>
    <x:row r="21" ht="23" customHeight="1">
      <x:c r="A21" s="11" t="n">
        <x:f>A8</x:f>
        <x:v>46054</x:v>
      </x:c>
      <x:c r="B21" s="10" t="n">
        <x:f>MEDIAN('Órdenes'!$E$43:$E$76)</x:f>
        <x:v>37500</x:v>
      </x:c>
      <x:c r="C21" s="10" t="n">
        <x:f>MIN('Órdenes'!$E$43:$E$76)</x:f>
        <x:v>17000</x:v>
      </x:c>
      <x:c r="D21" s="10" t="n">
        <x:f>MAX('Órdenes'!$E$43:$E$76)</x:f>
        <x:v>77000</x:v>
      </x:c>
      <x:c r="E21" s="10" t="n">
        <x:f>STDEV.P('Órdenes'!$E$43:$E$76)</x:f>
        <x:v>16392.672850496074</x:v>
      </x:c>
      <x:c r="F21" s="13" t="n">
        <x:f>I8/B8</x:f>
        <x:v>3.7941176470588234</x:v>
      </x:c>
      <x:c r="G21" s="12" t="n">
        <x:f>SUMIFS('Órdenes'!$J$7:$J$334,'Órdenes'!$G$7:$G$334,A21)/B8</x:f>
        <x:v>0.9705882352941176</x:v>
      </x:c>
      <x:c r="H21" s="2" t="n">
        <x:f>SUMIFS('Órdenes'!$I$7:$I$334,'Órdenes'!$G$7:$G$334,A21)</x:f>
        <x:v>16</x:v>
      </x:c>
      <x:c r="I21" s="2"/>
      <x:c r="J21" s="2"/>
      <x:c r="K21" s="2" t="str">
        <x:v>Ticket = ventas de órdenes / número de órdenes.</x:v>
      </x:c>
      <x:c r="L21" s="2"/>
      <x:c r="M21" s="2"/>
      <x:c r="N21" s="2"/>
      <x:c r="O21" s="2"/>
      <x:c r="P21" s="2"/>
      <x:c r="Q21" s="2"/>
      <x:c r="R21" s="2"/>
      <x:c r="S21" s="2"/>
    </x:row>
    <x:row r="22" ht="23" customHeight="1">
      <x:c r="A22" s="11" t="n">
        <x:f>A9</x:f>
        <x:v>46082</x:v>
      </x:c>
      <x:c r="B22" s="10" t="n">
        <x:f>MEDIAN('Órdenes'!$E$77:$E$116)</x:f>
        <x:v>37000</x:v>
      </x:c>
      <x:c r="C22" s="10" t="n">
        <x:f>MIN('Órdenes'!$E$77:$E$116)</x:f>
        <x:v>13000</x:v>
      </x:c>
      <x:c r="D22" s="10" t="n">
        <x:f>MAX('Órdenes'!$E$77:$E$116)</x:f>
        <x:v>85000</x:v>
      </x:c>
      <x:c r="E22" s="10" t="n">
        <x:f>STDEV.P('Órdenes'!$E$77:$E$116)</x:f>
        <x:v>20338.325889807154</x:v>
      </x:c>
      <x:c r="F22" s="13" t="n">
        <x:f>I9/B9</x:f>
        <x:v>3.6</x:v>
      </x:c>
      <x:c r="G22" s="12" t="n">
        <x:f>SUMIFS('Órdenes'!$J$7:$J$334,'Órdenes'!$G$7:$G$334,A22)/B9</x:f>
        <x:v>0.95</x:v>
      </x:c>
      <x:c r="H22" s="2" t="n">
        <x:f>SUMIFS('Órdenes'!$I$7:$I$334,'Órdenes'!$G$7:$G$334,A22)</x:f>
        <x:v>19</x:v>
      </x:c>
      <x:c r="I22" s="2"/>
      <x:c r="J22" s="2"/>
      <x:c r="K22" s="2" t="str">
        <x:v>La media global pondera por órdenes; no promedia los tickets mensuales.</x:v>
      </x:c>
      <x:c r="L22" s="2"/>
      <x:c r="M22" s="2"/>
      <x:c r="N22" s="2"/>
      <x:c r="O22" s="2"/>
      <x:c r="P22" s="2"/>
      <x:c r="Q22" s="2"/>
      <x:c r="R22" s="2"/>
      <x:c r="S22" s="2"/>
    </x:row>
    <x:row r="23" ht="23" customHeight="1">
      <x:c r="A23" s="11" t="n">
        <x:f>A10</x:f>
        <x:v>46113</x:v>
      </x:c>
      <x:c r="B23" s="10" t="n">
        <x:f>MEDIAN('Órdenes'!$E$117:$E$154)</x:f>
        <x:v>38000</x:v>
      </x:c>
      <x:c r="C23" s="10" t="n">
        <x:f>MIN('Órdenes'!$E$117:$E$154)</x:f>
        <x:v>15000</x:v>
      </x:c>
      <x:c r="D23" s="10" t="n">
        <x:f>MAX('Órdenes'!$E$117:$E$154)</x:f>
        <x:v>95000</x:v>
      </x:c>
      <x:c r="E23" s="10" t="n">
        <x:f>STDEV.P('Órdenes'!$E$117:$E$154)</x:f>
        <x:v>18267.423284705583</x:v>
      </x:c>
      <x:c r="F23" s="13" t="n">
        <x:f>I10/B10</x:f>
        <x:v>3.5526315789473686</x:v>
      </x:c>
      <x:c r="G23" s="12" t="n">
        <x:f>SUMIFS('Órdenes'!$J$7:$J$334,'Órdenes'!$G$7:$G$334,A23)/B10</x:f>
        <x:v>0.8947368421052632</x:v>
      </x:c>
      <x:c r="H23" s="2" t="n">
        <x:f>SUMIFS('Órdenes'!$I$7:$I$334,'Órdenes'!$G$7:$G$334,A23)</x:f>
        <x:v>18</x:v>
      </x:c>
      <x:c r="I23" s="2"/>
      <x:c r="J23" s="2"/>
      <x:c r="K23" s="2" t="str">
        <x:v>Ventas y cantidades son métricas distintas para comparar productos.</x:v>
      </x:c>
      <x:c r="L23" s="2"/>
      <x:c r="M23" s="2"/>
      <x:c r="N23" s="2"/>
      <x:c r="O23" s="2"/>
      <x:c r="P23" s="2"/>
      <x:c r="Q23" s="2"/>
      <x:c r="R23" s="2"/>
      <x:c r="S23" s="2"/>
    </x:row>
    <x:row r="24" ht="23" customHeight="1">
      <x:c r="A24" s="11" t="n">
        <x:f>A11</x:f>
        <x:v>46143</x:v>
      </x:c>
      <x:c r="B24" s="10" t="n">
        <x:f>MEDIAN('Órdenes'!$E$155:$E$198)</x:f>
        <x:v>33000</x:v>
      </x:c>
      <x:c r="C24" s="10" t="n">
        <x:f>MIN('Órdenes'!$E$155:$E$198)</x:f>
        <x:v>13000</x:v>
      </x:c>
      <x:c r="D24" s="10" t="n">
        <x:f>MAX('Órdenes'!$E$155:$E$198)</x:f>
        <x:v>78000</x:v>
      </x:c>
      <x:c r="E24" s="10" t="n">
        <x:f>STDEV.P('Órdenes'!$E$155:$E$198)</x:f>
        <x:v>17902.975421019262</x:v>
      </x:c>
      <x:c r="F24" s="13" t="n">
        <x:f>I11/B11</x:f>
        <x:v>3.272727272727273</x:v>
      </x:c>
      <x:c r="G24" s="12" t="n">
        <x:f>SUMIFS('Órdenes'!$J$7:$J$334,'Órdenes'!$G$7:$G$334,A24)/B11</x:f>
        <x:v>0.8409090909090909</x:v>
      </x:c>
      <x:c r="H24" s="2" t="n">
        <x:f>SUMIFS('Órdenes'!$I$7:$I$334,'Órdenes'!$G$7:$G$334,A24)</x:f>
        <x:v>19</x:v>
      </x:c>
      <x:c r="I24" s="2"/>
      <x:c r="J24" s="2"/>
      <x:c r="K24" s="2" t="str">
        <x:v>No hay datos de costos: no se calcula utilidad ni margen.</x:v>
      </x:c>
      <x:c r="L24" s="2"/>
      <x:c r="M24" s="2"/>
      <x:c r="N24" s="2"/>
      <x:c r="O24" s="2"/>
      <x:c r="P24" s="2"/>
      <x:c r="Q24" s="2"/>
      <x:c r="R24" s="2"/>
      <x:c r="S24" s="2"/>
    </x:row>
    <x:row r="25" ht="23" customHeight="1">
      <x:c r="A25" s="11" t="n">
        <x:f>A12</x:f>
        <x:v>46174</x:v>
      </x:c>
      <x:c r="B25" s="10" t="n">
        <x:f>MEDIAN('Órdenes'!$E$199:$E$240)</x:f>
        <x:v>34500</x:v>
      </x:c>
      <x:c r="C25" s="10" t="n">
        <x:f>MIN('Órdenes'!$E$199:$E$240)</x:f>
        <x:v>13000</x:v>
      </x:c>
      <x:c r="D25" s="10" t="n">
        <x:f>MAX('Órdenes'!$E$199:$E$240)</x:f>
        <x:v>90000</x:v>
      </x:c>
      <x:c r="E25" s="10" t="n">
        <x:f>STDEV.P('Órdenes'!$E$199:$E$240)</x:f>
        <x:v>17717.693604605163</x:v>
      </x:c>
      <x:c r="F25" s="13" t="n">
        <x:f>I12/B12</x:f>
        <x:v>3.4047619047619047</x:v>
      </x:c>
      <x:c r="G25" s="12" t="n">
        <x:f>SUMIFS('Órdenes'!$J$7:$J$334,'Órdenes'!$G$7:$G$334,A25)/B12</x:f>
        <x:v>0.9523809523809523</x:v>
      </x:c>
      <x:c r="H25" s="2" t="n">
        <x:f>SUMIFS('Órdenes'!$I$7:$I$334,'Órdenes'!$G$7:$G$334,A25)</x:f>
        <x:v>19</x:v>
      </x:c>
      <x:c r="I25" s="2"/>
      <x:c r="J25" s="2"/>
      <x:c r="K25" s="2" t="str">
        <x:v>No se atribuyen causas ni tendencias reales a la simulación.</x:v>
      </x:c>
      <x:c r="L25" s="2"/>
      <x:c r="M25" s="2"/>
      <x:c r="N25" s="2"/>
      <x:c r="O25" s="2"/>
      <x:c r="P25" s="2"/>
      <x:c r="Q25" s="2"/>
      <x:c r="R25" s="2"/>
      <x:c r="S25" s="2"/>
    </x:row>
    <x:row r="26" ht="23" customHeight="1">
      <x:c r="A26" s="11" t="n">
        <x:f>A13</x:f>
        <x:v>46204</x:v>
      </x:c>
      <x:c r="B26" s="10" t="n">
        <x:f>MEDIAN('Órdenes'!$E$241:$E$288)</x:f>
        <x:v>25000</x:v>
      </x:c>
      <x:c r="C26" s="10" t="n">
        <x:f>MIN('Órdenes'!$E$241:$E$288)</x:f>
        <x:v>13000</x:v>
      </x:c>
      <x:c r="D26" s="10" t="n">
        <x:f>MAX('Órdenes'!$E$241:$E$288)</x:f>
        <x:v>78000</x:v>
      </x:c>
      <x:c r="E26" s="10" t="n">
        <x:f>STDEV.P('Órdenes'!$E$241:$E$288)</x:f>
        <x:v>15815.985562258067</x:v>
      </x:c>
      <x:c r="F26" s="13" t="n">
        <x:f>I13/B13</x:f>
        <x:v>2.75</x:v>
      </x:c>
      <x:c r="G26" s="12" t="n">
        <x:f>SUMIFS('Órdenes'!$J$7:$J$334,'Órdenes'!$G$7:$G$334,A26)/B13</x:f>
        <x:v>0.7916666666666666</x:v>
      </x:c>
      <x:c r="H26" s="2" t="n">
        <x:f>SUMIFS('Órdenes'!$I$7:$I$334,'Órdenes'!$G$7:$G$334,A26)</x:f>
        <x:v>22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3" customHeight="1">
      <x:c r="A27" s="11" t="n">
        <x:f>A14</x:f>
        <x:v>46235</x:v>
      </x:c>
      <x:c r="B27" s="10" t="n">
        <x:f>MEDIAN('Órdenes'!$E$289:$E$334)</x:f>
        <x:v>41000</x:v>
      </x:c>
      <x:c r="C27" s="10" t="n">
        <x:f>MIN('Órdenes'!$E$289:$E$334)</x:f>
        <x:v>12000</x:v>
      </x:c>
      <x:c r="D27" s="10" t="n">
        <x:f>MAX('Órdenes'!$E$289:$E$334)</x:f>
        <x:v>85000</x:v>
      </x:c>
      <x:c r="E27" s="10" t="n">
        <x:f>STDEV.P('Órdenes'!$E$289:$E$334)</x:f>
        <x:v>17636.920481852147</x:v>
      </x:c>
      <x:c r="F27" s="13" t="n">
        <x:f>I14/B14</x:f>
        <x:v>3.782608695652174</x:v>
      </x:c>
      <x:c r="G27" s="12" t="n">
        <x:f>SUMIFS('Órdenes'!$J$7:$J$334,'Órdenes'!$G$7:$G$334,A27)/B14</x:f>
        <x:v>0.9565217391304348</x:v>
      </x:c>
      <x:c r="H27" s="2" t="n">
        <x:f>SUMIFS('Órdenes'!$I$7:$I$334,'Órdenes'!$G$7:$G$334,A27)</x:f>
        <x:v>20</x:v>
      </x:c>
      <x:c r="I27" s="2"/>
      <x:c r="J27" s="2"/>
      <x:c r="K27" s="2" t="str">
        <x:v>0 en una combinación significa sin registros en esta muestra.</x:v>
      </x:c>
      <x:c r="L27" s="2"/>
      <x:c r="M27" s="2"/>
      <x:c r="N27" s="2"/>
      <x:c r="O27" s="2"/>
      <x:c r="P27" s="2"/>
      <x:c r="Q27" s="2"/>
      <x:c r="R27" s="2"/>
      <x:c r="S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 t="str">
        <x:v>Lunes: cerrado; no hay órdenes registradas ese día.</x:v>
      </x:c>
      <x:c r="L28" s="2"/>
      <x:c r="M28" s="2"/>
      <x:c r="N28" s="2"/>
      <x:c r="O28" s="2"/>
      <x:c r="P28" s="2"/>
      <x:c r="Q28" s="2"/>
      <x:c r="R28" s="2"/>
      <x:c r="S28" s="2"/>
    </x:row>
    <x:row r="29" ht="23" customHeight="1">
      <x:c r="A29" s="2" t="str">
        <x:v>La desviación poblacional mide la dispersión del ticket. Días con pedidos cuenta fechas distintas registradas.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3" customHeight="1">
      <x:c r="A31" s="2" t="str">
        <x:v>Ventas por día de la semana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34" customHeight="1">
      <x:c r="A32" s="7" t="str">
        <x:v>Mes</x:v>
      </x:c>
      <x:c r="B32" s="7" t="str">
        <x:v>Martes</x:v>
      </x:c>
      <x:c r="C32" s="7" t="str">
        <x:v>Miércoles</x:v>
      </x:c>
      <x:c r="D32" s="7" t="str">
        <x:v>Jueves</x:v>
      </x:c>
      <x:c r="E32" s="7" t="str">
        <x:v>Viernes</x:v>
      </x:c>
      <x:c r="F32" s="7" t="str">
        <x:v>Sábado</x:v>
      </x:c>
      <x:c r="G32" s="7" t="str">
        <x:v>Domingo</x:v>
      </x:c>
      <x:c r="H32" s="2"/>
      <x:c r="I32" s="2"/>
      <x:c r="J32" s="2"/>
      <x:c r="K32" s="7" t="str">
        <x:v>Día</x:v>
      </x:c>
      <x:c r="L32" s="7" t="str">
        <x:v>Ventas</x:v>
      </x:c>
      <x:c r="M32" s="7" t="str">
        <x:v>Órdenes</x:v>
      </x:c>
      <x:c r="N32" s="7" t="str">
        <x:v>Ticket promedio</x:v>
      </x:c>
      <x:c r="O32" s="7" t="str">
        <x:v>Días con pedidos</x:v>
      </x:c>
      <x:c r="P32" s="7" t="str">
        <x:v>Ventas por día registrado</x:v>
      </x:c>
      <x:c r="Q32" s="2"/>
      <x:c r="R32" s="2"/>
      <x:c r="S32" s="2"/>
    </x:row>
    <x:row r="33" ht="23" customHeight="1">
      <x:c r="A33" s="11" t="n">
        <x:f>A7</x:f>
        <x:v>46023</x:v>
      </x:c>
      <x:c r="B33" s="10" t="n">
        <x:f>SUMIFS('Órdenes'!$E$7:$E$334,'Órdenes'!$G$7:$G$334,$A33,'Órdenes'!$H$7:$H$334,2)</x:f>
        <x:v>67000</x:v>
      </x:c>
      <x:c r="C33" s="10" t="n">
        <x:f>SUMIFS('Órdenes'!$E$7:$E$334,'Órdenes'!$G$7:$G$334,$A33,'Órdenes'!$H$7:$H$334,3)</x:f>
        <x:v>142000</x:v>
      </x:c>
      <x:c r="D33" s="10" t="n">
        <x:f>SUMIFS('Órdenes'!$E$7:$E$334,'Órdenes'!$G$7:$G$334,$A33,'Órdenes'!$H$7:$H$334,4)</x:f>
        <x:v>115000</x:v>
      </x:c>
      <x:c r="E33" s="10" t="n">
        <x:f>SUMIFS('Órdenes'!$E$7:$E$334,'Órdenes'!$G$7:$G$334,$A33,'Órdenes'!$H$7:$H$334,5)</x:f>
        <x:v>343000</x:v>
      </x:c>
      <x:c r="F33" s="10" t="n">
        <x:f>SUMIFS('Órdenes'!$E$7:$E$334,'Órdenes'!$G$7:$G$334,$A33,'Órdenes'!$H$7:$H$334,6)</x:f>
        <x:v>338000</x:v>
      </x:c>
      <x:c r="G33" s="10" t="n">
        <x:f>SUMIFS('Órdenes'!$E$7:$E$334,'Órdenes'!$G$7:$G$334,$A33,'Órdenes'!$H$7:$H$334,7)</x:f>
        <x:v>248000</x:v>
      </x:c>
      <x:c r="H33" s="2"/>
      <x:c r="I33" s="2"/>
      <x:c r="J33" s="2"/>
      <x:c r="K33" s="2" t="str">
        <x:v>Martes</x:v>
      </x:c>
      <x:c r="L33" s="10" t="n">
        <x:f>SUMIFS('Órdenes'!$E$7:$E$334,'Órdenes'!$H$7:$H$334,2)</x:f>
        <x:v>716000</x:v>
      </x:c>
      <x:c r="M33" s="2" t="n">
        <x:f>COUNTIFS('Órdenes'!$H$7:$H$334,2)</x:f>
        <x:v>27</x:v>
      </x:c>
      <x:c r="N33" s="10" t="n">
        <x:f>L33/M33</x:f>
        <x:v>26518.51851851852</x:v>
      </x:c>
      <x:c r="O33" s="2" t="n">
        <x:f>SUMIFS('Órdenes'!$I$7:$I$334,'Órdenes'!$H$7:$H$334,2)</x:f>
        <x:v>16</x:v>
      </x:c>
      <x:c r="P33" s="10" t="n">
        <x:f>L33/O33</x:f>
        <x:v>44750</x:v>
      </x:c>
      <x:c r="Q33" s="2"/>
      <x:c r="R33" s="2"/>
      <x:c r="S33" s="2"/>
    </x:row>
    <x:row r="34" ht="23" customHeight="1">
      <x:c r="A34" s="11" t="n">
        <x:f>A8</x:f>
        <x:v>46054</x:v>
      </x:c>
      <x:c r="B34" s="10" t="n">
        <x:f>SUMIFS('Órdenes'!$E$7:$E$334,'Órdenes'!$G$7:$G$334,$A34,'Órdenes'!$H$7:$H$334,2)</x:f>
        <x:v>63000</x:v>
      </x:c>
      <x:c r="C34" s="10" t="n">
        <x:f>SUMIFS('Órdenes'!$E$7:$E$334,'Órdenes'!$G$7:$G$334,$A34,'Órdenes'!$H$7:$H$334,3)</x:f>
        <x:v>90000</x:v>
      </x:c>
      <x:c r="D34" s="10" t="n">
        <x:f>SUMIFS('Órdenes'!$E$7:$E$334,'Órdenes'!$G$7:$G$334,$A34,'Órdenes'!$H$7:$H$334,4)</x:f>
        <x:v>144000</x:v>
      </x:c>
      <x:c r="E34" s="10" t="n">
        <x:f>SUMIFS('Órdenes'!$E$7:$E$334,'Órdenes'!$G$7:$G$334,$A34,'Órdenes'!$H$7:$H$334,5)</x:f>
        <x:v>329000</x:v>
      </x:c>
      <x:c r="F34" s="10" t="n">
        <x:f>SUMIFS('Órdenes'!$E$7:$E$334,'Órdenes'!$G$7:$G$334,$A34,'Órdenes'!$H$7:$H$334,6)</x:f>
        <x:v>397000</x:v>
      </x:c>
      <x:c r="G34" s="10" t="n">
        <x:f>SUMIFS('Órdenes'!$E$7:$E$334,'Órdenes'!$G$7:$G$334,$A34,'Órdenes'!$H$7:$H$334,7)</x:f>
        <x:v>319000</x:v>
      </x:c>
      <x:c r="H34" s="2"/>
      <x:c r="I34" s="2"/>
      <x:c r="J34" s="2"/>
      <x:c r="K34" s="2" t="str">
        <x:v>Miércoles</x:v>
      </x:c>
      <x:c r="L34" s="10" t="n">
        <x:f>SUMIFS('Órdenes'!$E$7:$E$334,'Órdenes'!$H$7:$H$334,3)</x:f>
        <x:v>678000</x:v>
      </x:c>
      <x:c r="M34" s="2" t="n">
        <x:f>COUNTIFS('Órdenes'!$H$7:$H$334,3)</x:f>
        <x:v>21</x:v>
      </x:c>
      <x:c r="N34" s="10" t="n">
        <x:f>L34/M34</x:f>
        <x:v>32285.714285714286</x:v>
      </x:c>
      <x:c r="O34" s="2" t="n">
        <x:f>SUMIFS('Órdenes'!$I$7:$I$334,'Órdenes'!$H$7:$H$334,3)</x:f>
        <x:v>17</x:v>
      </x:c>
      <x:c r="P34" s="10" t="n">
        <x:f>L34/O34</x:f>
        <x:v>39882.35294117647</x:v>
      </x:c>
      <x:c r="Q34" s="2"/>
      <x:c r="R34" s="2"/>
      <x:c r="S34" s="2"/>
    </x:row>
    <x:row r="35" ht="23" customHeight="1">
      <x:c r="A35" s="11" t="n">
        <x:f>A9</x:f>
        <x:v>46082</x:v>
      </x:c>
      <x:c r="B35" s="10" t="n">
        <x:f>SUMIFS('Órdenes'!$E$7:$E$334,'Órdenes'!$G$7:$G$334,$A35,'Órdenes'!$H$7:$H$334,2)</x:f>
        <x:v>70000</x:v>
      </x:c>
      <x:c r="C35" s="10" t="n">
        <x:f>SUMIFS('Órdenes'!$E$7:$E$334,'Órdenes'!$G$7:$G$334,$A35,'Órdenes'!$H$7:$H$334,3)</x:f>
        <x:v>108000</x:v>
      </x:c>
      <x:c r="D35" s="10" t="n">
        <x:f>SUMIFS('Órdenes'!$E$7:$E$334,'Órdenes'!$G$7:$G$334,$A35,'Órdenes'!$H$7:$H$334,4)</x:f>
        <x:v>171000</x:v>
      </x:c>
      <x:c r="E35" s="10" t="n">
        <x:f>SUMIFS('Órdenes'!$E$7:$E$334,'Órdenes'!$G$7:$G$334,$A35,'Órdenes'!$H$7:$H$334,5)</x:f>
        <x:v>359000</x:v>
      </x:c>
      <x:c r="F35" s="10" t="n">
        <x:f>SUMIFS('Órdenes'!$E$7:$E$334,'Órdenes'!$G$7:$G$334,$A35,'Órdenes'!$H$7:$H$334,6)</x:f>
        <x:v>464000</x:v>
      </x:c>
      <x:c r="G35" s="10" t="n">
        <x:f>SUMIFS('Órdenes'!$E$7:$E$334,'Órdenes'!$G$7:$G$334,$A35,'Órdenes'!$H$7:$H$334,7)</x:f>
        <x:v>410000</x:v>
      </x:c>
      <x:c r="H35" s="2"/>
      <x:c r="I35" s="2"/>
      <x:c r="J35" s="2"/>
      <x:c r="K35" s="2" t="str">
        <x:v>Jueves</x:v>
      </x:c>
      <x:c r="L35" s="10" t="n">
        <x:f>SUMIFS('Órdenes'!$E$7:$E$334,'Órdenes'!$H$7:$H$334,4)</x:f>
        <x:v>1189000</x:v>
      </x:c>
      <x:c r="M35" s="2" t="n">
        <x:f>COUNTIFS('Órdenes'!$H$7:$H$334,4)</x:f>
        <x:v>40</x:v>
      </x:c>
      <x:c r="N35" s="10" t="n">
        <x:f>L35/M35</x:f>
        <x:v>29725</x:v>
      </x:c>
      <x:c r="O35" s="2" t="n">
        <x:f>SUMIFS('Órdenes'!$I$7:$I$334,'Órdenes'!$H$7:$H$334,4)</x:f>
        <x:v>23</x:v>
      </x:c>
      <x:c r="P35" s="10" t="n">
        <x:f>L35/O35</x:f>
        <x:v>51695.65217391304</x:v>
      </x:c>
      <x:c r="Q35" s="2"/>
      <x:c r="R35" s="2"/>
      <x:c r="S35" s="2"/>
    </x:row>
    <x:row r="36" ht="23" customHeight="1">
      <x:c r="A36" s="11" t="n">
        <x:f>A10</x:f>
        <x:v>46113</x:v>
      </x:c>
      <x:c r="B36" s="10" t="n">
        <x:f>SUMIFS('Órdenes'!$E$7:$E$334,'Órdenes'!$G$7:$G$334,$A36,'Órdenes'!$H$7:$H$334,2)</x:f>
        <x:v>198000</x:v>
      </x:c>
      <x:c r="C36" s="10" t="n">
        <x:f>SUMIFS('Órdenes'!$E$7:$E$334,'Órdenes'!$G$7:$G$334,$A36,'Órdenes'!$H$7:$H$334,3)</x:f>
        <x:v>135000</x:v>
      </x:c>
      <x:c r="D36" s="10" t="n">
        <x:f>SUMIFS('Órdenes'!$E$7:$E$334,'Órdenes'!$G$7:$G$334,$A36,'Órdenes'!$H$7:$H$334,4)</x:f>
        <x:v>38000</x:v>
      </x:c>
      <x:c r="E36" s="10" t="n">
        <x:f>SUMIFS('Órdenes'!$E$7:$E$334,'Órdenes'!$G$7:$G$334,$A36,'Órdenes'!$H$7:$H$334,5)</x:f>
        <x:v>301000</x:v>
      </x:c>
      <x:c r="F36" s="10" t="n">
        <x:f>SUMIFS('Órdenes'!$E$7:$E$334,'Órdenes'!$G$7:$G$334,$A36,'Órdenes'!$H$7:$H$334,6)</x:f>
        <x:v>504000</x:v>
      </x:c>
      <x:c r="G36" s="10" t="n">
        <x:f>SUMIFS('Órdenes'!$E$7:$E$334,'Órdenes'!$G$7:$G$334,$A36,'Órdenes'!$H$7:$H$334,7)</x:f>
        <x:v>293000</x:v>
      </x:c>
      <x:c r="H36" s="2"/>
      <x:c r="I36" s="2"/>
      <x:c r="J36" s="2"/>
      <x:c r="K36" s="2" t="str">
        <x:v>Viernes</x:v>
      </x:c>
      <x:c r="L36" s="10" t="n">
        <x:f>SUMIFS('Órdenes'!$E$7:$E$334,'Órdenes'!$H$7:$H$334,5)</x:f>
        <x:v>2637000</x:v>
      </x:c>
      <x:c r="M36" s="2" t="n">
        <x:f>COUNTIFS('Órdenes'!$H$7:$H$334,5)</x:f>
        <x:v>69</x:v>
      </x:c>
      <x:c r="N36" s="10" t="n">
        <x:f>L36/M36</x:f>
        <x:v>38217.391304347824</x:v>
      </x:c>
      <x:c r="O36" s="2" t="n">
        <x:f>SUMIFS('Órdenes'!$I$7:$I$334,'Órdenes'!$H$7:$H$334,5)</x:f>
        <x:v>30</x:v>
      </x:c>
      <x:c r="P36" s="10" t="n">
        <x:f>L36/O36</x:f>
        <x:v>87900</x:v>
      </x:c>
      <x:c r="Q36" s="2"/>
      <x:c r="R36" s="2"/>
      <x:c r="S36" s="2"/>
    </x:row>
    <x:row r="37" ht="23" customHeight="1">
      <x:c r="A37" s="11" t="n">
        <x:f>A11</x:f>
        <x:v>46143</x:v>
      </x:c>
      <x:c r="B37" s="10" t="n">
        <x:f>SUMIFS('Órdenes'!$E$7:$E$334,'Órdenes'!$G$7:$G$334,$A37,'Órdenes'!$H$7:$H$334,2)</x:f>
        <x:v>93000</x:v>
      </x:c>
      <x:c r="C37" s="10" t="n">
        <x:f>SUMIFS('Órdenes'!$E$7:$E$334,'Órdenes'!$G$7:$G$334,$A37,'Órdenes'!$H$7:$H$334,3)</x:f>
        <x:v>0</x:v>
      </x:c>
      <x:c r="D37" s="10" t="n">
        <x:f>SUMIFS('Órdenes'!$E$7:$E$334,'Órdenes'!$G$7:$G$334,$A37,'Órdenes'!$H$7:$H$334,4)</x:f>
        <x:v>185000</x:v>
      </x:c>
      <x:c r="E37" s="10" t="n">
        <x:f>SUMIFS('Órdenes'!$E$7:$E$334,'Órdenes'!$G$7:$G$334,$A37,'Órdenes'!$H$7:$H$334,5)</x:f>
        <x:v>373000</x:v>
      </x:c>
      <x:c r="F37" s="10" t="n">
        <x:f>SUMIFS('Órdenes'!$E$7:$E$334,'Órdenes'!$G$7:$G$334,$A37,'Órdenes'!$H$7:$H$334,6)</x:f>
        <x:v>486000</x:v>
      </x:c>
      <x:c r="G37" s="10" t="n">
        <x:f>SUMIFS('Órdenes'!$E$7:$E$334,'Órdenes'!$G$7:$G$334,$A37,'Órdenes'!$H$7:$H$334,7)</x:f>
        <x:v>459000</x:v>
      </x:c>
      <x:c r="H37" s="2"/>
      <x:c r="I37" s="2"/>
      <x:c r="J37" s="2"/>
      <x:c r="K37" s="2" t="str">
        <x:v>Sábado</x:v>
      </x:c>
      <x:c r="L37" s="10" t="n">
        <x:f>SUMIFS('Órdenes'!$E$7:$E$334,'Órdenes'!$H$7:$H$334,6)</x:f>
        <x:v>3893000</x:v>
      </x:c>
      <x:c r="M37" s="2" t="n">
        <x:f>COUNTIFS('Órdenes'!$H$7:$H$334,6)</x:f>
        <x:v>96</x:v>
      </x:c>
      <x:c r="N37" s="10" t="n">
        <x:f>L37/M37</x:f>
        <x:v>40552.083333333336</x:v>
      </x:c>
      <x:c r="O37" s="2" t="n">
        <x:f>SUMIFS('Órdenes'!$I$7:$I$334,'Órdenes'!$H$7:$H$334,6)</x:f>
        <x:v>32</x:v>
      </x:c>
      <x:c r="P37" s="10" t="n">
        <x:f>L37/O37</x:f>
        <x:v>121656.25</x:v>
      </x:c>
      <x:c r="Q37" s="2"/>
      <x:c r="R37" s="2"/>
      <x:c r="S37" s="2"/>
    </x:row>
    <x:row r="38" ht="23" customHeight="1">
      <x:c r="A38" s="11" t="n">
        <x:f>A12</x:f>
        <x:v>46174</x:v>
      </x:c>
      <x:c r="B38" s="10" t="n">
        <x:f>SUMIFS('Órdenes'!$E$7:$E$334,'Órdenes'!$G$7:$G$334,$A38,'Órdenes'!$H$7:$H$334,2)</x:f>
        <x:v>75000</x:v>
      </x:c>
      <x:c r="C38" s="10" t="n">
        <x:f>SUMIFS('Órdenes'!$E$7:$E$334,'Órdenes'!$G$7:$G$334,$A38,'Órdenes'!$H$7:$H$334,3)</x:f>
        <x:v>20000</x:v>
      </x:c>
      <x:c r="D38" s="10" t="n">
        <x:f>SUMIFS('Órdenes'!$E$7:$E$334,'Órdenes'!$G$7:$G$334,$A38,'Órdenes'!$H$7:$H$334,4)</x:f>
        <x:v>222000</x:v>
      </x:c>
      <x:c r="E38" s="10" t="n">
        <x:f>SUMIFS('Órdenes'!$E$7:$E$334,'Órdenes'!$G$7:$G$334,$A38,'Órdenes'!$H$7:$H$334,5)</x:f>
        <x:v>269000</x:v>
      </x:c>
      <x:c r="F38" s="10" t="n">
        <x:f>SUMIFS('Órdenes'!$E$7:$E$334,'Órdenes'!$G$7:$G$334,$A38,'Órdenes'!$H$7:$H$334,6)</x:f>
        <x:v>497000</x:v>
      </x:c>
      <x:c r="G38" s="10" t="n">
        <x:f>SUMIFS('Órdenes'!$E$7:$E$334,'Órdenes'!$G$7:$G$334,$A38,'Órdenes'!$H$7:$H$334,7)</x:f>
        <x:v>408000</x:v>
      </x:c>
      <x:c r="H38" s="2"/>
      <x:c r="I38" s="2"/>
      <x:c r="J38" s="2"/>
      <x:c r="K38" s="2" t="str">
        <x:v>Domingo</x:v>
      </x:c>
      <x:c r="L38" s="10" t="n">
        <x:f>SUMIFS('Órdenes'!$E$7:$E$334,'Órdenes'!$H$7:$H$334,7)</x:f>
        <x:v>2974000</x:v>
      </x:c>
      <x:c r="M38" s="2" t="n">
        <x:f>COUNTIFS('Órdenes'!$H$7:$H$334,7)</x:f>
        <x:v>75</x:v>
      </x:c>
      <x:c r="N38" s="10" t="n">
        <x:f>L38/M38</x:f>
        <x:v>39653.333333333336</x:v>
      </x:c>
      <x:c r="O38" s="2" t="n">
        <x:f>SUMIFS('Órdenes'!$I$7:$I$334,'Órdenes'!$H$7:$H$334,7)</x:f>
        <x:v>34</x:v>
      </x:c>
      <x:c r="P38" s="10" t="n">
        <x:f>L38/O38</x:f>
        <x:v>87470.58823529411</x:v>
      </x:c>
      <x:c r="Q38" s="2"/>
      <x:c r="R38" s="2"/>
      <x:c r="S38" s="2"/>
    </x:row>
    <x:row r="39" ht="23" customHeight="1">
      <x:c r="A39" s="11" t="n">
        <x:f>A13</x:f>
        <x:v>46204</x:v>
      </x:c>
      <x:c r="B39" s="10" t="n">
        <x:f>SUMIFS('Órdenes'!$E$7:$E$334,'Órdenes'!$G$7:$G$334,$A39,'Órdenes'!$H$7:$H$334,2)</x:f>
        <x:v>71000</x:v>
      </x:c>
      <x:c r="C39" s="10" t="n">
        <x:f>SUMIFS('Órdenes'!$E$7:$E$334,'Órdenes'!$G$7:$G$334,$A39,'Órdenes'!$H$7:$H$334,3)</x:f>
        <x:v>63000</x:v>
      </x:c>
      <x:c r="D39" s="10" t="n">
        <x:f>SUMIFS('Órdenes'!$E$7:$E$334,'Órdenes'!$G$7:$G$334,$A39,'Órdenes'!$H$7:$H$334,4)</x:f>
        <x:v>177000</x:v>
      </x:c>
      <x:c r="E39" s="10" t="n">
        <x:f>SUMIFS('Órdenes'!$E$7:$E$334,'Órdenes'!$G$7:$G$334,$A39,'Órdenes'!$H$7:$H$334,5)</x:f>
        <x:v>392000</x:v>
      </x:c>
      <x:c r="F39" s="10" t="n">
        <x:f>SUMIFS('Órdenes'!$E$7:$E$334,'Órdenes'!$G$7:$G$334,$A39,'Órdenes'!$H$7:$H$334,6)</x:f>
        <x:v>441000</x:v>
      </x:c>
      <x:c r="G39" s="10" t="n">
        <x:f>SUMIFS('Órdenes'!$E$7:$E$334,'Órdenes'!$G$7:$G$334,$A39,'Órdenes'!$H$7:$H$334,7)</x:f>
        <x:v>327000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3" customHeight="1">
      <x:c r="A40" s="11" t="n">
        <x:f>A14</x:f>
        <x:v>46235</x:v>
      </x:c>
      <x:c r="B40" s="10" t="n">
        <x:f>SUMIFS('Órdenes'!$E$7:$E$334,'Órdenes'!$G$7:$G$334,$A40,'Órdenes'!$H$7:$H$334,2)</x:f>
        <x:v>79000</x:v>
      </x:c>
      <x:c r="C40" s="10" t="n">
        <x:f>SUMIFS('Órdenes'!$E$7:$E$334,'Órdenes'!$G$7:$G$334,$A40,'Órdenes'!$H$7:$H$334,3)</x:f>
        <x:v>120000</x:v>
      </x:c>
      <x:c r="D40" s="10" t="n">
        <x:f>SUMIFS('Órdenes'!$E$7:$E$334,'Órdenes'!$G$7:$G$334,$A40,'Órdenes'!$H$7:$H$334,4)</x:f>
        <x:v>137000</x:v>
      </x:c>
      <x:c r="E40" s="10" t="n">
        <x:f>SUMIFS('Órdenes'!$E$7:$E$334,'Órdenes'!$G$7:$G$334,$A40,'Órdenes'!$H$7:$H$334,5)</x:f>
        <x:v>271000</x:v>
      </x:c>
      <x:c r="F40" s="10" t="n">
        <x:f>SUMIFS('Órdenes'!$E$7:$E$334,'Órdenes'!$G$7:$G$334,$A40,'Órdenes'!$H$7:$H$334,6)</x:f>
        <x:v>766000</x:v>
      </x:c>
      <x:c r="G40" s="10" t="n">
        <x:f>SUMIFS('Órdenes'!$E$7:$E$334,'Órdenes'!$G$7:$G$334,$A40,'Órdenes'!$H$7:$H$334,7)</x:f>
        <x:v>510000</x:v>
      </x:c>
      <x:c r="H40" s="2"/>
      <x:c r="I40" s="2"/>
      <x:c r="J40" s="2"/>
      <x:c r="K40" s="2" t="str">
        <x:v>Ventas por día registrado usa solo fechas con pedidos, no todos los días de apertura.</x:v>
      </x:c>
      <x:c r="L40" s="2"/>
      <x:c r="M40" s="2"/>
      <x:c r="N40" s="2"/>
      <x:c r="O40" s="2"/>
      <x:c r="P40" s="2"/>
      <x:c r="Q40" s="2"/>
      <x:c r="R40" s="2"/>
      <x:c r="S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3" customHeight="1">
      <x:c r="A43" s="2" t="str">
        <x:v>Órdenes por día de la semana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34" customHeight="1">
      <x:c r="A44" s="7" t="str">
        <x:v>Mes</x:v>
      </x:c>
      <x:c r="B44" s="7" t="str">
        <x:v>Martes</x:v>
      </x:c>
      <x:c r="C44" s="7" t="str">
        <x:v>Miércoles</x:v>
      </x:c>
      <x:c r="D44" s="7" t="str">
        <x:v>Jueves</x:v>
      </x:c>
      <x:c r="E44" s="7" t="str">
        <x:v>Viernes</x:v>
      </x:c>
      <x:c r="F44" s="7" t="str">
        <x:v>Sábado</x:v>
      </x:c>
      <x:c r="G44" s="7" t="str">
        <x:v>Domingo</x:v>
      </x:c>
      <x:c r="H44" s="2"/>
      <x:c r="I44" s="2"/>
      <x:c r="J44" s="2"/>
      <x:c r="K44" s="7" t="str">
        <x:v>Producto</x:v>
      </x:c>
      <x:c r="L44" s="7" t="str">
        <x:v>Unidades</x:v>
      </x:c>
      <x:c r="M44" s="7" t="str">
        <x:v>Ventas</x:v>
      </x:c>
      <x:c r="N44" s="7" t="str">
        <x:v>Participación en ventas</x:v>
      </x:c>
      <x:c r="O44" s="7" t="str">
        <x:v>Orden por unidades</x:v>
      </x:c>
      <x:c r="P44" s="7" t="str">
        <x:v>Producto (gráfica)</x:v>
      </x:c>
      <x:c r="Q44" s="7" t="str">
        <x:v>Unidades</x:v>
      </x:c>
      <x:c r="R44" s="7" t="str">
        <x:v>Nombre completo</x:v>
      </x:c>
      <x:c r="S44" s="2"/>
    </x:row>
    <x:row r="45" ht="23" customHeight="1">
      <x:c r="A45" s="11" t="n">
        <x:f>A7</x:f>
        <x:v>46023</x:v>
      </x:c>
      <x:c r="B45" s="2" t="n">
        <x:f>COUNTIFS('Órdenes'!$G$7:$G$334,$A45,'Órdenes'!$H$7:$H$334,2)</x:f>
        <x:v>2</x:v>
      </x:c>
      <x:c r="C45" s="2" t="n">
        <x:f>COUNTIFS('Órdenes'!$G$7:$G$334,$A45,'Órdenes'!$H$7:$H$334,3)</x:f>
        <x:v>5</x:v>
      </x:c>
      <x:c r="D45" s="2" t="n">
        <x:f>COUNTIFS('Órdenes'!$G$7:$G$334,$A45,'Órdenes'!$H$7:$H$334,4)</x:f>
        <x:v>4</x:v>
      </x:c>
      <x:c r="E45" s="2" t="n">
        <x:f>COUNTIFS('Órdenes'!$G$7:$G$334,$A45,'Órdenes'!$H$7:$H$334,5)</x:f>
        <x:v>9</x:v>
      </x:c>
      <x:c r="F45" s="2" t="n">
        <x:f>COUNTIFS('Órdenes'!$G$7:$G$334,$A45,'Órdenes'!$H$7:$H$334,6)</x:f>
        <x:v>8</x:v>
      </x:c>
      <x:c r="G45" s="2" t="n">
        <x:f>COUNTIFS('Órdenes'!$G$7:$G$334,$A45,'Órdenes'!$H$7:$H$334,7)</x:f>
        <x:v>8</x:v>
      </x:c>
      <x:c r="H45" s="2"/>
      <x:c r="I45" s="2"/>
      <x:c r="J45" s="2"/>
      <x:c r="K45" s="2" t="str">
        <x:v>Gaseosas</x:v>
      </x:c>
      <x:c r="L45" s="2" t="n">
        <x:f>SUMIFS('Detalle'!$D$7:$D$923,'Detalle'!$B$7:$B$923,K45)</x:f>
        <x:v>481</x:v>
      </x:c>
      <x:c r="M45" s="10" t="n">
        <x:f>SUMIFS('Detalle'!$F$7:$F$923,'Detalle'!$B$7:$B$923,K45)</x:f>
        <x:v>2405000</x:v>
      </x:c>
      <x:c r="N45" s="12" t="n">
        <x:f>M45/$L$4</x:f>
        <x:v>0.19897410440969637</x:v>
      </x:c>
      <x:c r="O45" s="2" t="n">
        <x:f>RANK(L45,$L$45:$L$49,0)+COUNTIFS($L$45:L45,L45)-1</x:f>
        <x:v>1</x:v>
      </x:c>
      <x:c r="P45" s="2" t="str">
        <x:f>IF(R45="Hamburguesa Clásica","H. clásica",IF(R45="Hamburguesa especial","H. especial",R45))</x:f>
        <x:v>Gaseosas</x:v>
      </x:c>
      <x:c r="Q45" s="2" t="n">
        <x:f>INDEX($L$45:$L$49,MATCH(1,$O$45:$O$49,0))</x:f>
        <x:v>481</x:v>
      </x:c>
      <x:c r="R45" s="2" t="str">
        <x:f>INDEX($K$45:$K$49,MATCH(1,$O$45:$O$49,0))</x:f>
        <x:v>Gaseosas</x:v>
      </x:c>
      <x:c r="S45" s="2"/>
    </x:row>
    <x:row r="46" ht="23" customHeight="1">
      <x:c r="A46" s="11" t="n">
        <x:f>A8</x:f>
        <x:v>46054</x:v>
      </x:c>
      <x:c r="B46" s="2" t="n">
        <x:f>COUNTIFS('Órdenes'!$G$7:$G$334,$A46,'Órdenes'!$H$7:$H$334,2)</x:f>
        <x:v>2</x:v>
      </x:c>
      <x:c r="C46" s="2" t="n">
        <x:f>COUNTIFS('Órdenes'!$G$7:$G$334,$A46,'Órdenes'!$H$7:$H$334,3)</x:f>
        <x:v>2</x:v>
      </x:c>
      <x:c r="D46" s="2" t="n">
        <x:f>COUNTIFS('Órdenes'!$G$7:$G$334,$A46,'Órdenes'!$H$7:$H$334,4)</x:f>
        <x:v>4</x:v>
      </x:c>
      <x:c r="E46" s="2" t="n">
        <x:f>COUNTIFS('Órdenes'!$G$7:$G$334,$A46,'Órdenes'!$H$7:$H$334,5)</x:f>
        <x:v>8</x:v>
      </x:c>
      <x:c r="F46" s="2" t="n">
        <x:f>COUNTIFS('Órdenes'!$G$7:$G$334,$A46,'Órdenes'!$H$7:$H$334,6)</x:f>
        <x:v>9</x:v>
      </x:c>
      <x:c r="G46" s="2" t="n">
        <x:f>COUNTIFS('Órdenes'!$G$7:$G$334,$A46,'Órdenes'!$H$7:$H$334,7)</x:f>
        <x:v>9</x:v>
      </x:c>
      <x:c r="H46" s="2"/>
      <x:c r="I46" s="2"/>
      <x:c r="J46" s="2"/>
      <x:c r="K46" s="2" t="str">
        <x:v>Hamburguesa Clásica</x:v>
      </x:c>
      <x:c r="L46" s="2" t="n">
        <x:f>SUMIFS('Detalle'!$D$7:$D$923,'Detalle'!$B$7:$B$923,K46)</x:f>
        <x:v>267</x:v>
      </x:c>
      <x:c r="M46" s="10" t="n">
        <x:f>SUMIFS('Detalle'!$F$7:$F$923,'Detalle'!$B$7:$B$923,K46)</x:f>
        <x:v>4005000</x:v>
      </x:c>
      <x:c r="N46" s="12" t="n">
        <x:f>M46/$L$4</x:f>
        <x:v>0.3313477289650037</x:v>
      </x:c>
      <x:c r="O46" s="2" t="n">
        <x:f>RANK(L46,$L$45:$L$49,0)+COUNTIFS($L$45:L46,L46)-1</x:f>
        <x:v>2</x:v>
      </x:c>
      <x:c r="P46" s="2" t="str">
        <x:f>IF(R46="Hamburguesa Clásica","H. clásica",IF(R46="Hamburguesa especial","H. especial",R46))</x:f>
        <x:v>H. clásica</x:v>
      </x:c>
      <x:c r="Q46" s="2" t="n">
        <x:f>INDEX($L$45:$L$49,MATCH(2,$O$45:$O$49,0))</x:f>
        <x:v>267</x:v>
      </x:c>
      <x:c r="R46" s="2" t="str">
        <x:f>INDEX($K$45:$K$49,MATCH(2,$O$45:$O$49,0))</x:f>
        <x:v>Hamburguesa Clásica</x:v>
      </x:c>
      <x:c r="S46" s="2"/>
    </x:row>
    <x:row r="47" ht="23" customHeight="1">
      <x:c r="A47" s="11" t="n">
        <x:f>A9</x:f>
        <x:v>46082</x:v>
      </x:c>
      <x:c r="B47" s="2" t="n">
        <x:f>COUNTIFS('Órdenes'!$G$7:$G$334,$A47,'Órdenes'!$H$7:$H$334,2)</x:f>
        <x:v>2</x:v>
      </x:c>
      <x:c r="C47" s="2" t="n">
        <x:f>COUNTIFS('Órdenes'!$G$7:$G$334,$A47,'Órdenes'!$H$7:$H$334,3)</x:f>
        <x:v>4</x:v>
      </x:c>
      <x:c r="D47" s="2" t="n">
        <x:f>COUNTIFS('Órdenes'!$G$7:$G$334,$A47,'Órdenes'!$H$7:$H$334,4)</x:f>
        <x:v>4</x:v>
      </x:c>
      <x:c r="E47" s="2" t="n">
        <x:f>COUNTIFS('Órdenes'!$G$7:$G$334,$A47,'Órdenes'!$H$7:$H$334,5)</x:f>
        <x:v>9</x:v>
      </x:c>
      <x:c r="F47" s="2" t="n">
        <x:f>COUNTIFS('Órdenes'!$G$7:$G$334,$A47,'Órdenes'!$H$7:$H$334,6)</x:f>
        <x:v>11</x:v>
      </x:c>
      <x:c r="G47" s="2" t="n">
        <x:f>COUNTIFS('Órdenes'!$G$7:$G$334,$A47,'Órdenes'!$H$7:$H$334,7)</x:f>
        <x:v>10</x:v>
      </x:c>
      <x:c r="H47" s="2"/>
      <x:c r="I47" s="2"/>
      <x:c r="J47" s="2"/>
      <x:c r="K47" s="2" t="str">
        <x:v>Hamburguesa especial</x:v>
      </x:c>
      <x:c r="L47" s="2" t="n">
        <x:f>SUMIFS('Detalle'!$D$7:$D$923,'Detalle'!$B$7:$B$923,K47)</x:f>
        <x:v>146</x:v>
      </x:c>
      <x:c r="M47" s="10" t="n">
        <x:f>SUMIFS('Detalle'!$F$7:$F$923,'Detalle'!$B$7:$B$923,K47)</x:f>
        <x:v>2920000</x:v>
      </x:c>
      <x:c r="N47" s="12" t="n">
        <x:f>M47/$L$4</x:f>
        <x:v>0.2415818648134359</x:v>
      </x:c>
      <x:c r="O47" s="2" t="n">
        <x:f>RANK(L47,$L$45:$L$49,0)+COUNTIFS($L$45:L47,L47)-1</x:f>
        <x:v>3</x:v>
      </x:c>
      <x:c r="P47" s="2" t="str">
        <x:f>IF(R47="Hamburguesa Clásica","H. clásica",IF(R47="Hamburguesa especial","H. especial",R47))</x:f>
        <x:v>H. especial</x:v>
      </x:c>
      <x:c r="Q47" s="2" t="n">
        <x:f>INDEX($L$45:$L$49,MATCH(3,$O$45:$O$49,0))</x:f>
        <x:v>146</x:v>
      </x:c>
      <x:c r="R47" s="2" t="str">
        <x:f>INDEX($K$45:$K$49,MATCH(3,$O$45:$O$49,0))</x:f>
        <x:v>Hamburguesa especial</x:v>
      </x:c>
      <x:c r="S47" s="2"/>
    </x:row>
    <x:row r="48" ht="23" customHeight="1">
      <x:c r="A48" s="11" t="n">
        <x:f>A10</x:f>
        <x:v>46113</x:v>
      </x:c>
      <x:c r="B48" s="2" t="n">
        <x:f>COUNTIFS('Órdenes'!$G$7:$G$334,$A48,'Órdenes'!$H$7:$H$334,2)</x:f>
        <x:v>7</x:v>
      </x:c>
      <x:c r="C48" s="2" t="n">
        <x:f>COUNTIFS('Órdenes'!$G$7:$G$334,$A48,'Órdenes'!$H$7:$H$334,3)</x:f>
        <x:v>3</x:v>
      </x:c>
      <x:c r="D48" s="2" t="n">
        <x:f>COUNTIFS('Órdenes'!$G$7:$G$334,$A48,'Órdenes'!$H$7:$H$334,4)</x:f>
        <x:v>2</x:v>
      </x:c>
      <x:c r="E48" s="2" t="n">
        <x:f>COUNTIFS('Órdenes'!$G$7:$G$334,$A48,'Órdenes'!$H$7:$H$334,5)</x:f>
        <x:v>7</x:v>
      </x:c>
      <x:c r="F48" s="2" t="n">
        <x:f>COUNTIFS('Órdenes'!$G$7:$G$334,$A48,'Órdenes'!$H$7:$H$334,6)</x:f>
        <x:v>13</x:v>
      </x:c>
      <x:c r="G48" s="2" t="n">
        <x:f>COUNTIFS('Órdenes'!$G$7:$G$334,$A48,'Órdenes'!$H$7:$H$334,7)</x:f>
        <x:v>6</x:v>
      </x:c>
      <x:c r="H48" s="2"/>
      <x:c r="I48" s="2"/>
      <x:c r="J48" s="2"/>
      <x:c r="K48" s="2" t="str">
        <x:v>Perro caliente</x:v>
      </x:c>
      <x:c r="L48" s="2" t="n">
        <x:f>SUMIFS('Detalle'!$D$7:$D$923,'Detalle'!$B$7:$B$923,K48)</x:f>
        <x:v>117</x:v>
      </x:c>
      <x:c r="M48" s="10" t="n">
        <x:f>SUMIFS('Detalle'!$F$7:$F$923,'Detalle'!$B$7:$B$923,K48)</x:f>
        <x:v>1521000</x:v>
      </x:c>
      <x:c r="N48" s="12" t="n">
        <x:f>M48/$L$4</x:f>
        <x:v>0.12583767684288905</x:v>
      </x:c>
      <x:c r="O48" s="2" t="n">
        <x:f>RANK(L48,$L$45:$L$49,0)+COUNTIFS($L$45:L48,L48)-1</x:f>
        <x:v>4</x:v>
      </x:c>
      <x:c r="P48" s="2" t="str">
        <x:f>IF(R48="Hamburguesa Clásica","H. clásica",IF(R48="Hamburguesa especial","H. especial",R48))</x:f>
        <x:v>Perro caliente</x:v>
      </x:c>
      <x:c r="Q48" s="2" t="n">
        <x:f>INDEX($L$45:$L$49,MATCH(4,$O$45:$O$49,0))</x:f>
        <x:v>117</x:v>
      </x:c>
      <x:c r="R48" s="2" t="str">
        <x:f>INDEX($K$45:$K$49,MATCH(4,$O$45:$O$49,0))</x:f>
        <x:v>Perro caliente</x:v>
      </x:c>
      <x:c r="S48" s="2"/>
    </x:row>
    <x:row r="49" ht="23" customHeight="1">
      <x:c r="A49" s="11" t="n">
        <x:f>A11</x:f>
        <x:v>46143</x:v>
      </x:c>
      <x:c r="B49" s="2" t="n">
        <x:f>COUNTIFS('Órdenes'!$G$7:$G$334,$A49,'Órdenes'!$H$7:$H$334,2)</x:f>
        <x:v>3</x:v>
      </x:c>
      <x:c r="C49" s="2" t="n">
        <x:f>COUNTIFS('Órdenes'!$G$7:$G$334,$A49,'Órdenes'!$H$7:$H$334,3)</x:f>
        <x:v>0</x:v>
      </x:c>
      <x:c r="D49" s="2" t="n">
        <x:f>COUNTIFS('Órdenes'!$G$7:$G$334,$A49,'Órdenes'!$H$7:$H$334,4)</x:f>
        <x:v>8</x:v>
      </x:c>
      <x:c r="E49" s="2" t="n">
        <x:f>COUNTIFS('Órdenes'!$G$7:$G$334,$A49,'Órdenes'!$H$7:$H$334,5)</x:f>
        <x:v>9</x:v>
      </x:c>
      <x:c r="F49" s="2" t="n">
        <x:f>COUNTIFS('Órdenes'!$G$7:$G$334,$A49,'Órdenes'!$H$7:$H$334,6)</x:f>
        <x:v>13</x:v>
      </x:c>
      <x:c r="G49" s="2" t="n">
        <x:f>COUNTIFS('Órdenes'!$G$7:$G$334,$A49,'Órdenes'!$H$7:$H$334,7)</x:f>
        <x:v>11</x:v>
      </x:c>
      <x:c r="H49" s="2"/>
      <x:c r="I49" s="2"/>
      <x:c r="J49" s="2"/>
      <x:c r="K49" s="2" t="str">
        <x:v>Salchipapas</x:v>
      </x:c>
      <x:c r="L49" s="2" t="n">
        <x:f>SUMIFS('Detalle'!$D$7:$D$923,'Detalle'!$B$7:$B$923,K49)</x:f>
        <x:v>103</x:v>
      </x:c>
      <x:c r="M49" s="10" t="n">
        <x:f>SUMIFS('Detalle'!$F$7:$F$923,'Detalle'!$B$7:$B$923,K49)</x:f>
        <x:v>1236000</x:v>
      </x:c>
      <x:c r="N49" s="12" t="n">
        <x:f>M49/$L$4</x:f>
        <x:v>0.10225862496897493</x:v>
      </x:c>
      <x:c r="O49" s="2" t="n">
        <x:f>RANK(L49,$L$45:$L$49,0)+COUNTIFS($L$45:L49,L49)-1</x:f>
        <x:v>5</x:v>
      </x:c>
      <x:c r="P49" s="2" t="str">
        <x:f>IF(R49="Hamburguesa Clásica","H. clásica",IF(R49="Hamburguesa especial","H. especial",R49))</x:f>
        <x:v>Salchipapas</x:v>
      </x:c>
      <x:c r="Q49" s="2" t="n">
        <x:f>INDEX($L$45:$L$49,MATCH(5,$O$45:$O$49,0))</x:f>
        <x:v>103</x:v>
      </x:c>
      <x:c r="R49" s="2" t="str">
        <x:f>INDEX($K$45:$K$49,MATCH(5,$O$45:$O$49,0))</x:f>
        <x:v>Salchipapas</x:v>
      </x:c>
      <x:c r="S49" s="2"/>
    </x:row>
    <x:row r="50" ht="23" customHeight="1">
      <x:c r="A50" s="11" t="n">
        <x:f>A12</x:f>
        <x:v>46174</x:v>
      </x:c>
      <x:c r="B50" s="2" t="n">
        <x:f>COUNTIFS('Órdenes'!$G$7:$G$334,$A50,'Órdenes'!$H$7:$H$334,2)</x:f>
        <x:v>4</x:v>
      </x:c>
      <x:c r="C50" s="2" t="n">
        <x:f>COUNTIFS('Órdenes'!$G$7:$G$334,$A50,'Órdenes'!$H$7:$H$334,3)</x:f>
        <x:v>1</x:v>
      </x:c>
      <x:c r="D50" s="2" t="n">
        <x:f>COUNTIFS('Órdenes'!$G$7:$G$334,$A50,'Órdenes'!$H$7:$H$334,4)</x:f>
        <x:v>7</x:v>
      </x:c>
      <x:c r="E50" s="2" t="n">
        <x:f>COUNTIFS('Órdenes'!$G$7:$G$334,$A50,'Órdenes'!$H$7:$H$334,5)</x:f>
        <x:v>9</x:v>
      </x:c>
      <x:c r="F50" s="2" t="n">
        <x:f>COUNTIFS('Órdenes'!$G$7:$G$334,$A50,'Órdenes'!$H$7:$H$334,6)</x:f>
        <x:v>11</x:v>
      </x:c>
      <x:c r="G50" s="2" t="n">
        <x:f>COUNTIFS('Órdenes'!$G$7:$G$334,$A50,'Órdenes'!$H$7:$H$334,7)</x:f>
        <x:v>10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3" customHeight="1">
      <x:c r="A51" s="11" t="n">
        <x:f>A13</x:f>
        <x:v>46204</x:v>
      </x:c>
      <x:c r="B51" s="2" t="n">
        <x:f>COUNTIFS('Órdenes'!$G$7:$G$334,$A51,'Órdenes'!$H$7:$H$334,2)</x:f>
        <x:v>4</x:v>
      </x:c>
      <x:c r="C51" s="2" t="n">
        <x:f>COUNTIFS('Órdenes'!$G$7:$G$334,$A51,'Órdenes'!$H$7:$H$334,3)</x:f>
        <x:v>3</x:v>
      </x:c>
      <x:c r="D51" s="2" t="n">
        <x:f>COUNTIFS('Órdenes'!$G$7:$G$334,$A51,'Órdenes'!$H$7:$H$334,4)</x:f>
        <x:v>6</x:v>
      </x:c>
      <x:c r="E51" s="2" t="n">
        <x:f>COUNTIFS('Órdenes'!$G$7:$G$334,$A51,'Órdenes'!$H$7:$H$334,5)</x:f>
        <x:v>11</x:v>
      </x:c>
      <x:c r="F51" s="2" t="n">
        <x:f>COUNTIFS('Órdenes'!$G$7:$G$334,$A51,'Órdenes'!$H$7:$H$334,6)</x:f>
        <x:v>13</x:v>
      </x:c>
      <x:c r="G51" s="2" t="n">
        <x:f>COUNTIFS('Órdenes'!$G$7:$G$334,$A51,'Órdenes'!$H$7:$H$334,7)</x:f>
        <x:v>11</x:v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3" customHeight="1">
      <x:c r="A52" s="11" t="n">
        <x:f>A14</x:f>
        <x:v>46235</x:v>
      </x:c>
      <x:c r="B52" s="2" t="n">
        <x:f>COUNTIFS('Órdenes'!$G$7:$G$334,$A52,'Órdenes'!$H$7:$H$334,2)</x:f>
        <x:v>3</x:v>
      </x:c>
      <x:c r="C52" s="2" t="n">
        <x:f>COUNTIFS('Órdenes'!$G$7:$G$334,$A52,'Órdenes'!$H$7:$H$334,3)</x:f>
        <x:v>3</x:v>
      </x:c>
      <x:c r="D52" s="2" t="n">
        <x:f>COUNTIFS('Órdenes'!$G$7:$G$334,$A52,'Órdenes'!$H$7:$H$334,4)</x:f>
        <x:v>5</x:v>
      </x:c>
      <x:c r="E52" s="2" t="n">
        <x:f>COUNTIFS('Órdenes'!$G$7:$G$334,$A52,'Órdenes'!$H$7:$H$334,5)</x:f>
        <x:v>7</x:v>
      </x:c>
      <x:c r="F52" s="2" t="n">
        <x:f>COUNTIFS('Órdenes'!$G$7:$G$334,$A52,'Órdenes'!$H$7:$H$334,6)</x:f>
        <x:v>18</x:v>
      </x:c>
      <x:c r="G52" s="2" t="n">
        <x:f>COUNTIFS('Órdenes'!$G$7:$G$334,$A52,'Órdenes'!$H$7:$H$334,7)</x:f>
        <x:v>10</x:v>
      </x:c>
      <x:c r="H52" s="2"/>
      <x:c r="I52" s="2"/>
      <x:c r="J52" s="2"/>
      <x:c r="K52" s="2" t="str">
        <x:v>Conciliación de origen</x:v>
      </x:c>
      <x:c r="L52" s="2"/>
      <x:c r="M52" s="2"/>
      <x:c r="N52" s="2"/>
      <x:c r="O52" s="2"/>
      <x:c r="P52" s="2"/>
      <x:c r="Q52" s="2"/>
      <x:c r="R52" s="2"/>
      <x:c r="S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 t="str">
        <x:v>Ventas de órdenes</x:v>
      </x:c>
      <x:c r="L53" s="10" t="n">
        <x:f>SUM('Órdenes'!$E$7:$E$334)</x:f>
        <x:v>12087000</x:v>
      </x:c>
      <x:c r="M53" s="2"/>
      <x:c r="N53" s="2"/>
      <x:c r="O53" s="2"/>
      <x:c r="P53" s="2"/>
      <x:c r="Q53" s="2"/>
      <x:c r="R53" s="2"/>
      <x:c r="S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 t="str">
        <x:v>Ventas del detalle</x:v>
      </x:c>
      <x:c r="L54" s="10" t="n">
        <x:f>SUM('Detalle'!$F$7:$F$923)</x:f>
        <x:v>12087000</x:v>
      </x:c>
      <x:c r="M54" s="2"/>
      <x:c r="N54" s="2"/>
      <x:c r="O54" s="2"/>
      <x:c r="P54" s="2"/>
      <x:c r="Q54" s="2"/>
      <x:c r="R54" s="2"/>
      <x:c r="S54" s="2"/>
    </x:row>
    <x:row r="55" ht="23" customHeight="1">
      <x:c r="A55" s="2" t="str">
        <x:v>Unidades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 t="str">
        <x:v>Diferencia</x:v>
      </x:c>
      <x:c r="L55" s="10" t="n">
        <x:f>L53-L54</x:f>
        <x:v>0</x:v>
      </x:c>
      <x:c r="M55" s="2"/>
      <x:c r="N55" s="2"/>
      <x:c r="O55" s="2"/>
      <x:c r="P55" s="2"/>
      <x:c r="Q55" s="2"/>
      <x:c r="R55" s="2"/>
      <x:c r="S55" s="2"/>
    </x:row>
    <x:row r="56" ht="34" customHeight="1">
      <x:c r="A56" s="7" t="str">
        <x:v>Mes</x:v>
      </x:c>
      <x:c r="B56" s="7" t="str">
        <x:v>Gaseosas</x:v>
      </x:c>
      <x:c r="C56" s="7" t="str">
        <x:v>Hamburguesa Clásica</x:v>
      </x:c>
      <x:c r="D56" s="7" t="str">
        <x:v>Hamburguesa especial</x:v>
      </x:c>
      <x:c r="E56" s="7" t="str">
        <x:v>Perro caliente</x:v>
      </x:c>
      <x:c r="F56" s="7" t="str">
        <x:v>Salchipapas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3" customHeight="1">
      <x:c r="A57" s="11" t="n">
        <x:f>A7</x:f>
        <x:v>46023</x:v>
      </x:c>
      <x:c r="B57" s="2" t="n">
        <x:f>SUMIFS('Detalle'!$D$7:$D$923,'Detalle'!$H$7:$H$923,$A57,'Detalle'!$B$7:$B$923,B$56)</x:f>
        <x:v>50</x:v>
      </x:c>
      <x:c r="C57" s="2" t="n">
        <x:f>SUMIFS('Detalle'!$D$7:$D$923,'Detalle'!$H$7:$H$923,$A57,'Detalle'!$B$7:$B$923,C$56)</x:f>
        <x:v>21</x:v>
      </x:c>
      <x:c r="D57" s="2" t="n">
        <x:f>SUMIFS('Detalle'!$D$7:$D$923,'Detalle'!$H$7:$H$923,$A57,'Detalle'!$B$7:$B$923,D$56)</x:f>
        <x:v>22</x:v>
      </x:c>
      <x:c r="E57" s="2" t="n">
        <x:f>SUMIFS('Detalle'!$D$7:$D$923,'Detalle'!$H$7:$H$923,$A57,'Detalle'!$B$7:$B$923,E$56)</x:f>
        <x:v>8</x:v>
      </x:c>
      <x:c r="F57" s="2" t="n">
        <x:f>SUMIFS('Detalle'!$D$7:$D$923,'Detalle'!$H$7:$H$923,$A57,'Detalle'!$B$7:$B$923,F$56)</x:f>
        <x:v>12</x:v>
      </x:c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3" customHeight="1">
      <x:c r="A58" s="11" t="n">
        <x:f>A8</x:f>
        <x:v>46054</x:v>
      </x:c>
      <x:c r="B58" s="2" t="n">
        <x:f>SUMIFS('Detalle'!$D$7:$D$923,'Detalle'!$H$7:$H$923,$A58,'Detalle'!$B$7:$B$923,B$56)</x:f>
        <x:v>58</x:v>
      </x:c>
      <x:c r="C58" s="2" t="n">
        <x:f>SUMIFS('Detalle'!$D$7:$D$923,'Detalle'!$H$7:$H$923,$A58,'Detalle'!$B$7:$B$923,C$56)</x:f>
        <x:v>29</x:v>
      </x:c>
      <x:c r="D58" s="2" t="n">
        <x:f>SUMIFS('Detalle'!$D$7:$D$923,'Detalle'!$H$7:$H$923,$A58,'Detalle'!$B$7:$B$923,D$56)</x:f>
        <x:v>12</x:v>
      </x:c>
      <x:c r="E58" s="2" t="n">
        <x:f>SUMIFS('Detalle'!$D$7:$D$923,'Detalle'!$H$7:$H$923,$A58,'Detalle'!$B$7:$B$923,E$56)</x:f>
        <x:v>17</x:v>
      </x:c>
      <x:c r="F58" s="2" t="n">
        <x:f>SUMIFS('Detalle'!$D$7:$D$923,'Detalle'!$H$7:$H$923,$A58,'Detalle'!$B$7:$B$923,F$56)</x:f>
        <x:v>13</x:v>
      </x:c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34" customHeight="1">
      <x:c r="A59" s="11" t="n">
        <x:f>A9</x:f>
        <x:v>46082</x:v>
      </x:c>
      <x:c r="B59" s="2" t="n">
        <x:f>SUMIFS('Detalle'!$D$7:$D$923,'Detalle'!$H$7:$H$923,$A59,'Detalle'!$B$7:$B$923,B$56)</x:f>
        <x:v>63</x:v>
      </x:c>
      <x:c r="C59" s="2" t="n">
        <x:f>SUMIFS('Detalle'!$D$7:$D$923,'Detalle'!$H$7:$H$923,$A59,'Detalle'!$B$7:$B$923,C$56)</x:f>
        <x:v>34</x:v>
      </x:c>
      <x:c r="D59" s="2" t="n">
        <x:f>SUMIFS('Detalle'!$D$7:$D$923,'Detalle'!$H$7:$H$923,$A59,'Detalle'!$B$7:$B$923,D$56)</x:f>
        <x:v>23</x:v>
      </x:c>
      <x:c r="E59" s="2" t="n">
        <x:f>SUMIFS('Detalle'!$D$7:$D$923,'Detalle'!$H$7:$H$923,$A59,'Detalle'!$B$7:$B$923,E$56)</x:f>
        <x:v>9</x:v>
      </x:c>
      <x:c r="F59" s="2" t="n">
        <x:f>SUMIFS('Detalle'!$D$7:$D$923,'Detalle'!$H$7:$H$923,$A59,'Detalle'!$B$7:$B$923,F$56)</x:f>
        <x:v>15</x:v>
      </x:c>
      <x:c r="G59" s="2"/>
      <x:c r="H59" s="2"/>
      <x:c r="I59" s="2"/>
      <x:c r="J59" s="2"/>
      <x:c r="K59" s="7" t="str">
        <x:v>Mes</x:v>
      </x:c>
      <x:c r="L59" s="7" t="str">
        <x:v>Ventas</x:v>
      </x:c>
      <x:c r="M59" s="7" t="str">
        <x:v>Ticket promedio</x:v>
      </x:c>
      <x:c r="N59" s="2"/>
      <x:c r="O59" s="2"/>
      <x:c r="P59" s="2"/>
      <x:c r="Q59" s="2"/>
      <x:c r="R59" s="2"/>
      <x:c r="S59" s="2"/>
    </x:row>
    <x:row r="60" ht="23" customHeight="1">
      <x:c r="A60" s="11" t="n">
        <x:f>A10</x:f>
        <x:v>46113</x:v>
      </x:c>
      <x:c r="B60" s="2" t="n">
        <x:f>SUMIFS('Detalle'!$D$7:$D$923,'Detalle'!$H$7:$H$923,$A60,'Detalle'!$B$7:$B$923,B$56)</x:f>
        <x:v>58</x:v>
      </x:c>
      <x:c r="C60" s="2" t="n">
        <x:f>SUMIFS('Detalle'!$D$7:$D$923,'Detalle'!$H$7:$H$923,$A60,'Detalle'!$B$7:$B$923,C$56)</x:f>
        <x:v>31</x:v>
      </x:c>
      <x:c r="D60" s="2" t="n">
        <x:f>SUMIFS('Detalle'!$D$7:$D$923,'Detalle'!$H$7:$H$923,$A60,'Detalle'!$B$7:$B$923,D$56)</x:f>
        <x:v>18</x:v>
      </x:c>
      <x:c r="E60" s="2" t="n">
        <x:f>SUMIFS('Detalle'!$D$7:$D$923,'Detalle'!$H$7:$H$923,$A60,'Detalle'!$B$7:$B$923,E$56)</x:f>
        <x:v>18</x:v>
      </x:c>
      <x:c r="F60" s="2" t="n">
        <x:f>SUMIFS('Detalle'!$D$7:$D$923,'Detalle'!$H$7:$H$923,$A60,'Detalle'!$B$7:$B$923,F$56)</x:f>
        <x:v>10</x:v>
      </x:c>
      <x:c r="G60" s="2"/>
      <x:c r="H60" s="2"/>
      <x:c r="I60" s="2"/>
      <x:c r="J60" s="2"/>
      <x:c r="K60" s="2" t="str">
        <x:v>Ene</x:v>
      </x:c>
      <x:c r="L60" s="10" t="n">
        <x:f>C7</x:f>
        <x:v>1253000</x:v>
      </x:c>
      <x:c r="M60" s="10" t="n">
        <x:f>D7</x:f>
        <x:v>34805.555555555555</x:v>
      </x:c>
      <x:c r="N60" s="2"/>
      <x:c r="O60" s="2"/>
      <x:c r="P60" s="2"/>
      <x:c r="Q60" s="2"/>
      <x:c r="R60" s="2"/>
      <x:c r="S60" s="2"/>
    </x:row>
    <x:row r="61" ht="23" customHeight="1">
      <x:c r="A61" s="11" t="n">
        <x:f>A11</x:f>
        <x:v>46143</x:v>
      </x:c>
      <x:c r="B61" s="2" t="n">
        <x:f>SUMIFS('Detalle'!$D$7:$D$923,'Detalle'!$H$7:$H$923,$A61,'Detalle'!$B$7:$B$923,B$56)</x:f>
        <x:v>57</x:v>
      </x:c>
      <x:c r="C61" s="2" t="n">
        <x:f>SUMIFS('Detalle'!$D$7:$D$923,'Detalle'!$H$7:$H$923,$A61,'Detalle'!$B$7:$B$923,C$56)</x:f>
        <x:v>40</x:v>
      </x:c>
      <x:c r="D61" s="2" t="n">
        <x:f>SUMIFS('Detalle'!$D$7:$D$923,'Detalle'!$H$7:$H$923,$A61,'Detalle'!$B$7:$B$923,D$56)</x:f>
        <x:v>16</x:v>
      </x:c>
      <x:c r="E61" s="2" t="n">
        <x:f>SUMIFS('Detalle'!$D$7:$D$923,'Detalle'!$H$7:$H$923,$A61,'Detalle'!$B$7:$B$923,E$56)</x:f>
        <x:v>19</x:v>
      </x:c>
      <x:c r="F61" s="2" t="n">
        <x:f>SUMIFS('Detalle'!$D$7:$D$923,'Detalle'!$H$7:$H$923,$A61,'Detalle'!$B$7:$B$923,F$56)</x:f>
        <x:v>12</x:v>
      </x:c>
      <x:c r="G61" s="2"/>
      <x:c r="H61" s="2"/>
      <x:c r="I61" s="2"/>
      <x:c r="J61" s="2"/>
      <x:c r="K61" s="2" t="str">
        <x:v>Feb</x:v>
      </x:c>
      <x:c r="L61" s="10" t="n">
        <x:f>C8</x:f>
        <x:v>1342000</x:v>
      </x:c>
      <x:c r="M61" s="10" t="n">
        <x:f>D8</x:f>
        <x:v>39470.58823529412</x:v>
      </x:c>
      <x:c r="N61" s="2"/>
      <x:c r="O61" s="2"/>
      <x:c r="P61" s="2"/>
      <x:c r="Q61" s="2"/>
      <x:c r="R61" s="2"/>
      <x:c r="S61" s="2"/>
    </x:row>
    <x:row r="62" ht="23" customHeight="1">
      <x:c r="A62" s="11" t="n">
        <x:f>A12</x:f>
        <x:v>46174</x:v>
      </x:c>
      <x:c r="B62" s="2" t="n">
        <x:f>SUMIFS('Detalle'!$D$7:$D$923,'Detalle'!$H$7:$H$923,$A62,'Detalle'!$B$7:$B$923,B$56)</x:f>
        <x:v>66</x:v>
      </x:c>
      <x:c r="C62" s="2" t="n">
        <x:f>SUMIFS('Detalle'!$D$7:$D$923,'Detalle'!$H$7:$H$923,$A62,'Detalle'!$B$7:$B$923,C$56)</x:f>
        <x:v>34</x:v>
      </x:c>
      <x:c r="D62" s="2" t="n">
        <x:f>SUMIFS('Detalle'!$D$7:$D$923,'Detalle'!$H$7:$H$923,$A62,'Detalle'!$B$7:$B$923,D$56)</x:f>
        <x:v>15</x:v>
      </x:c>
      <x:c r="E62" s="2" t="n">
        <x:f>SUMIFS('Detalle'!$D$7:$D$923,'Detalle'!$H$7:$H$923,$A62,'Detalle'!$B$7:$B$923,E$56)</x:f>
        <x:v>15</x:v>
      </x:c>
      <x:c r="F62" s="2" t="n">
        <x:f>SUMIFS('Detalle'!$D$7:$D$923,'Detalle'!$H$7:$H$923,$A62,'Detalle'!$B$7:$B$923,F$56)</x:f>
        <x:v>13</x:v>
      </x:c>
      <x:c r="G62" s="2"/>
      <x:c r="H62" s="2"/>
      <x:c r="I62" s="2"/>
      <x:c r="J62" s="2"/>
      <x:c r="K62" s="2" t="str">
        <x:v>Mar</x:v>
      </x:c>
      <x:c r="L62" s="10" t="n">
        <x:f>C9</x:f>
        <x:v>1582000</x:v>
      </x:c>
      <x:c r="M62" s="10" t="n">
        <x:f>D9</x:f>
        <x:v>39550</x:v>
      </x:c>
      <x:c r="N62" s="2"/>
      <x:c r="O62" s="2"/>
      <x:c r="P62" s="2"/>
      <x:c r="Q62" s="2"/>
      <x:c r="R62" s="2"/>
      <x:c r="S62" s="2"/>
    </x:row>
    <x:row r="63" ht="23" customHeight="1">
      <x:c r="A63" s="11" t="n">
        <x:f>A13</x:f>
        <x:v>46204</x:v>
      </x:c>
      <x:c r="B63" s="2" t="n">
        <x:f>SUMIFS('Detalle'!$D$7:$D$923,'Detalle'!$H$7:$H$923,$A63,'Detalle'!$B$7:$B$923,B$56)</x:f>
        <x:v>53</x:v>
      </x:c>
      <x:c r="C63" s="2" t="n">
        <x:f>SUMIFS('Detalle'!$D$7:$D$923,'Detalle'!$H$7:$H$923,$A63,'Detalle'!$B$7:$B$923,C$56)</x:f>
        <x:v>35</x:v>
      </x:c>
      <x:c r="D63" s="2" t="n">
        <x:f>SUMIFS('Detalle'!$D$7:$D$923,'Detalle'!$H$7:$H$923,$A63,'Detalle'!$B$7:$B$923,D$56)</x:f>
        <x:v>17</x:v>
      </x:c>
      <x:c r="E63" s="2" t="n">
        <x:f>SUMIFS('Detalle'!$D$7:$D$923,'Detalle'!$H$7:$H$923,$A63,'Detalle'!$B$7:$B$923,E$56)</x:f>
        <x:v>17</x:v>
      </x:c>
      <x:c r="F63" s="2" t="n">
        <x:f>SUMIFS('Detalle'!$D$7:$D$923,'Detalle'!$H$7:$H$923,$A63,'Detalle'!$B$7:$B$923,F$56)</x:f>
        <x:v>10</x:v>
      </x:c>
      <x:c r="G63" s="2"/>
      <x:c r="H63" s="2"/>
      <x:c r="I63" s="2"/>
      <x:c r="J63" s="2"/>
      <x:c r="K63" s="2" t="str">
        <x:v>Abr</x:v>
      </x:c>
      <x:c r="L63" s="10" t="n">
        <x:f>C10</x:f>
        <x:v>1469000</x:v>
      </x:c>
      <x:c r="M63" s="10" t="n">
        <x:f>D10</x:f>
        <x:v>38657.89473684211</x:v>
      </x:c>
      <x:c r="N63" s="2"/>
      <x:c r="O63" s="2"/>
      <x:c r="P63" s="2"/>
      <x:c r="Q63" s="2"/>
      <x:c r="R63" s="2"/>
      <x:c r="S63" s="2"/>
    </x:row>
    <x:row r="64" ht="23" customHeight="1">
      <x:c r="A64" s="11" t="n">
        <x:f>A14</x:f>
        <x:v>46235</x:v>
      </x:c>
      <x:c r="B64" s="2" t="n">
        <x:f>SUMIFS('Detalle'!$D$7:$D$923,'Detalle'!$H$7:$H$923,$A64,'Detalle'!$B$7:$B$923,B$56)</x:f>
        <x:v>76</x:v>
      </x:c>
      <x:c r="C64" s="2" t="n">
        <x:f>SUMIFS('Detalle'!$D$7:$D$923,'Detalle'!$H$7:$H$923,$A64,'Detalle'!$B$7:$B$923,C$56)</x:f>
        <x:v>43</x:v>
      </x:c>
      <x:c r="D64" s="2" t="n">
        <x:f>SUMIFS('Detalle'!$D$7:$D$923,'Detalle'!$H$7:$H$923,$A64,'Detalle'!$B$7:$B$923,D$56)</x:f>
        <x:v>23</x:v>
      </x:c>
      <x:c r="E64" s="2" t="n">
        <x:f>SUMIFS('Detalle'!$D$7:$D$923,'Detalle'!$H$7:$H$923,$A64,'Detalle'!$B$7:$B$923,E$56)</x:f>
        <x:v>14</x:v>
      </x:c>
      <x:c r="F64" s="2" t="n">
        <x:f>SUMIFS('Detalle'!$D$7:$D$923,'Detalle'!$H$7:$H$923,$A64,'Detalle'!$B$7:$B$923,F$56)</x:f>
        <x:v>18</x:v>
      </x:c>
      <x:c r="G64" s="2"/>
      <x:c r="H64" s="2"/>
      <x:c r="I64" s="2"/>
      <x:c r="J64" s="2"/>
      <x:c r="K64" s="2" t="str">
        <x:v>May</x:v>
      </x:c>
      <x:c r="L64" s="10" t="n">
        <x:f>C11</x:f>
        <x:v>1596000</x:v>
      </x:c>
      <x:c r="M64" s="10" t="n">
        <x:f>D11</x:f>
        <x:v>36272.72727272727</x:v>
      </x:c>
      <x:c r="N64" s="2"/>
      <x:c r="O64" s="2"/>
      <x:c r="P64" s="2"/>
      <x:c r="Q64" s="2"/>
      <x:c r="R64" s="2"/>
      <x:c r="S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 t="str">
        <x:v>Jun</x:v>
      </x:c>
      <x:c r="L65" s="10" t="n">
        <x:f>C12</x:f>
        <x:v>1491000</x:v>
      </x:c>
      <x:c r="M65" s="10" t="n">
        <x:f>D12</x:f>
        <x:v>35500</x:v>
      </x:c>
      <x:c r="N65" s="2"/>
      <x:c r="O65" s="2"/>
      <x:c r="P65" s="2"/>
      <x:c r="Q65" s="2"/>
      <x:c r="R65" s="2"/>
      <x:c r="S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 t="str">
        <x:v>Jul</x:v>
      </x:c>
      <x:c r="L66" s="10" t="n">
        <x:f>C13</x:f>
        <x:v>1471000</x:v>
      </x:c>
      <x:c r="M66" s="10" t="n">
        <x:f>D13</x:f>
        <x:v>30645.833333333332</x:v>
      </x:c>
      <x:c r="N66" s="2"/>
      <x:c r="O66" s="2"/>
      <x:c r="P66" s="2"/>
      <x:c r="Q66" s="2"/>
      <x:c r="R66" s="2"/>
      <x:c r="S66" s="2"/>
    </x:row>
    <x:row r="67" ht="23" customHeight="1">
      <x:c r="A67" s="2" t="str">
        <x:v>Ventas por producto</x:v>
      </x:c>
      <x:c r="B67" s="2"/>
      <x:c r="C67" s="2"/>
      <x:c r="D67" s="2"/>
      <x:c r="E67" s="2"/>
      <x:c r="F67" s="2"/>
      <x:c r="G67" s="2"/>
      <x:c r="H67" s="2"/>
      <x:c r="I67" s="2"/>
      <x:c r="J67" s="2"/>
      <x:c r="K67" s="2" t="str">
        <x:v>Ago</x:v>
      </x:c>
      <x:c r="L67" s="10" t="n">
        <x:f>C14</x:f>
        <x:v>1883000</x:v>
      </x:c>
      <x:c r="M67" s="10" t="n">
        <x:f>D14</x:f>
        <x:v>40934.782608695656</x:v>
      </x:c>
      <x:c r="N67" s="2"/>
      <x:c r="O67" s="2"/>
      <x:c r="P67" s="2"/>
      <x:c r="Q67" s="2"/>
      <x:c r="R67" s="2"/>
      <x:c r="S67" s="2"/>
    </x:row>
    <x:row r="68" ht="34" customHeight="1">
      <x:c r="A68" s="7" t="str">
        <x:v>Mes</x:v>
      </x:c>
      <x:c r="B68" s="7" t="str">
        <x:v>Gaseosas</x:v>
      </x:c>
      <x:c r="C68" s="7" t="str">
        <x:v>Hamburguesa Clásica</x:v>
      </x:c>
      <x:c r="D68" s="7" t="str">
        <x:v>Hamburguesa especial</x:v>
      </x:c>
      <x:c r="E68" s="7" t="str">
        <x:v>Perro caliente</x:v>
      </x:c>
      <x:c r="F68" s="7" t="str">
        <x:v>Salchipapas</x:v>
      </x:c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3" customHeight="1">
      <x:c r="A69" s="11" t="n">
        <x:f>A7</x:f>
        <x:v>46023</x:v>
      </x:c>
      <x:c r="B69" s="10" t="n">
        <x:f>SUMIFS('Detalle'!$F$7:$F$923,'Detalle'!$H$7:$H$923,$A69,'Detalle'!$B$7:$B$923,B$68)</x:f>
        <x:v>250000</x:v>
      </x:c>
      <x:c r="C69" s="10" t="n">
        <x:f>SUMIFS('Detalle'!$F$7:$F$923,'Detalle'!$H$7:$H$923,$A69,'Detalle'!$B$7:$B$923,C$68)</x:f>
        <x:v>315000</x:v>
      </x:c>
      <x:c r="D69" s="10" t="n">
        <x:f>SUMIFS('Detalle'!$F$7:$F$923,'Detalle'!$H$7:$H$923,$A69,'Detalle'!$B$7:$B$923,D$68)</x:f>
        <x:v>440000</x:v>
      </x:c>
      <x:c r="E69" s="10" t="n">
        <x:f>SUMIFS('Detalle'!$F$7:$F$923,'Detalle'!$H$7:$H$923,$A69,'Detalle'!$B$7:$B$923,E$68)</x:f>
        <x:v>104000</x:v>
      </x:c>
      <x:c r="F69" s="10" t="n">
        <x:f>SUMIFS('Detalle'!$F$7:$F$923,'Detalle'!$H$7:$H$923,$A69,'Detalle'!$B$7:$B$923,F$68)</x:f>
        <x:v>144000</x:v>
      </x:c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3" customHeight="1">
      <x:c r="A70" s="11" t="n">
        <x:f>A8</x:f>
        <x:v>46054</x:v>
      </x:c>
      <x:c r="B70" s="10" t="n">
        <x:f>SUMIFS('Detalle'!$F$7:$F$923,'Detalle'!$H$7:$H$923,$A70,'Detalle'!$B$7:$B$923,B$68)</x:f>
        <x:v>290000</x:v>
      </x:c>
      <x:c r="C70" s="10" t="n">
        <x:f>SUMIFS('Detalle'!$F$7:$F$923,'Detalle'!$H$7:$H$923,$A70,'Detalle'!$B$7:$B$923,C$68)</x:f>
        <x:v>435000</x:v>
      </x:c>
      <x:c r="D70" s="10" t="n">
        <x:f>SUMIFS('Detalle'!$F$7:$F$923,'Detalle'!$H$7:$H$923,$A70,'Detalle'!$B$7:$B$923,D$68)</x:f>
        <x:v>240000</x:v>
      </x:c>
      <x:c r="E70" s="10" t="n">
        <x:f>SUMIFS('Detalle'!$F$7:$F$923,'Detalle'!$H$7:$H$923,$A70,'Detalle'!$B$7:$B$923,E$68)</x:f>
        <x:v>221000</x:v>
      </x:c>
      <x:c r="F70" s="10" t="n">
        <x:f>SUMIFS('Detalle'!$F$7:$F$923,'Detalle'!$H$7:$H$923,$A70,'Detalle'!$B$7:$B$923,F$68)</x:f>
        <x:v>156000</x:v>
      </x:c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3" customHeight="1">
      <x:c r="A71" s="11" t="n">
        <x:f>A9</x:f>
        <x:v>46082</x:v>
      </x:c>
      <x:c r="B71" s="10" t="n">
        <x:f>SUMIFS('Detalle'!$F$7:$F$923,'Detalle'!$H$7:$H$923,$A71,'Detalle'!$B$7:$B$923,B$68)</x:f>
        <x:v>315000</x:v>
      </x:c>
      <x:c r="C71" s="10" t="n">
        <x:f>SUMIFS('Detalle'!$F$7:$F$923,'Detalle'!$H$7:$H$923,$A71,'Detalle'!$B$7:$B$923,C$68)</x:f>
        <x:v>510000</x:v>
      </x:c>
      <x:c r="D71" s="10" t="n">
        <x:f>SUMIFS('Detalle'!$F$7:$F$923,'Detalle'!$H$7:$H$923,$A71,'Detalle'!$B$7:$B$923,D$68)</x:f>
        <x:v>460000</x:v>
      </x:c>
      <x:c r="E71" s="10" t="n">
        <x:f>SUMIFS('Detalle'!$F$7:$F$923,'Detalle'!$H$7:$H$923,$A71,'Detalle'!$B$7:$B$923,E$68)</x:f>
        <x:v>117000</x:v>
      </x:c>
      <x:c r="F71" s="10" t="n">
        <x:f>SUMIFS('Detalle'!$F$7:$F$923,'Detalle'!$H$7:$H$923,$A71,'Detalle'!$B$7:$B$923,F$68)</x:f>
        <x:v>180000</x:v>
      </x:c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3" customHeight="1">
      <x:c r="A72" s="11" t="n">
        <x:f>A10</x:f>
        <x:v>46113</x:v>
      </x:c>
      <x:c r="B72" s="10" t="n">
        <x:f>SUMIFS('Detalle'!$F$7:$F$923,'Detalle'!$H$7:$H$923,$A72,'Detalle'!$B$7:$B$923,B$68)</x:f>
        <x:v>290000</x:v>
      </x:c>
      <x:c r="C72" s="10" t="n">
        <x:f>SUMIFS('Detalle'!$F$7:$F$923,'Detalle'!$H$7:$H$923,$A72,'Detalle'!$B$7:$B$923,C$68)</x:f>
        <x:v>465000</x:v>
      </x:c>
      <x:c r="D72" s="10" t="n">
        <x:f>SUMIFS('Detalle'!$F$7:$F$923,'Detalle'!$H$7:$H$923,$A72,'Detalle'!$B$7:$B$923,D$68)</x:f>
        <x:v>360000</x:v>
      </x:c>
      <x:c r="E72" s="10" t="n">
        <x:f>SUMIFS('Detalle'!$F$7:$F$923,'Detalle'!$H$7:$H$923,$A72,'Detalle'!$B$7:$B$923,E$68)</x:f>
        <x:v>234000</x:v>
      </x:c>
      <x:c r="F72" s="10" t="n">
        <x:f>SUMIFS('Detalle'!$F$7:$F$923,'Detalle'!$H$7:$H$923,$A72,'Detalle'!$B$7:$B$923,F$68)</x:f>
        <x:v>120000</x:v>
      </x:c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3" customHeight="1">
      <x:c r="A73" s="11" t="n">
        <x:f>A11</x:f>
        <x:v>46143</x:v>
      </x:c>
      <x:c r="B73" s="10" t="n">
        <x:f>SUMIFS('Detalle'!$F$7:$F$923,'Detalle'!$H$7:$H$923,$A73,'Detalle'!$B$7:$B$923,B$68)</x:f>
        <x:v>285000</x:v>
      </x:c>
      <x:c r="C73" s="10" t="n">
        <x:f>SUMIFS('Detalle'!$F$7:$F$923,'Detalle'!$H$7:$H$923,$A73,'Detalle'!$B$7:$B$923,C$68)</x:f>
        <x:v>600000</x:v>
      </x:c>
      <x:c r="D73" s="10" t="n">
        <x:f>SUMIFS('Detalle'!$F$7:$F$923,'Detalle'!$H$7:$H$923,$A73,'Detalle'!$B$7:$B$923,D$68)</x:f>
        <x:v>320000</x:v>
      </x:c>
      <x:c r="E73" s="10" t="n">
        <x:f>SUMIFS('Detalle'!$F$7:$F$923,'Detalle'!$H$7:$H$923,$A73,'Detalle'!$B$7:$B$923,E$68)</x:f>
        <x:v>247000</x:v>
      </x:c>
      <x:c r="F73" s="10" t="n">
        <x:f>SUMIFS('Detalle'!$F$7:$F$923,'Detalle'!$H$7:$H$923,$A73,'Detalle'!$B$7:$B$923,F$68)</x:f>
        <x:v>144000</x:v>
      </x:c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3" customHeight="1">
      <x:c r="A74" s="11" t="n">
        <x:f>A12</x:f>
        <x:v>46174</x:v>
      </x:c>
      <x:c r="B74" s="10" t="n">
        <x:f>SUMIFS('Detalle'!$F$7:$F$923,'Detalle'!$H$7:$H$923,$A74,'Detalle'!$B$7:$B$923,B$68)</x:f>
        <x:v>330000</x:v>
      </x:c>
      <x:c r="C74" s="10" t="n">
        <x:f>SUMIFS('Detalle'!$F$7:$F$923,'Detalle'!$H$7:$H$923,$A74,'Detalle'!$B$7:$B$923,C$68)</x:f>
        <x:v>510000</x:v>
      </x:c>
      <x:c r="D74" s="10" t="n">
        <x:f>SUMIFS('Detalle'!$F$7:$F$923,'Detalle'!$H$7:$H$923,$A74,'Detalle'!$B$7:$B$923,D$68)</x:f>
        <x:v>300000</x:v>
      </x:c>
      <x:c r="E74" s="10" t="n">
        <x:f>SUMIFS('Detalle'!$F$7:$F$923,'Detalle'!$H$7:$H$923,$A74,'Detalle'!$B$7:$B$923,E$68)</x:f>
        <x:v>195000</x:v>
      </x:c>
      <x:c r="F74" s="10" t="n">
        <x:f>SUMIFS('Detalle'!$F$7:$F$923,'Detalle'!$H$7:$H$923,$A74,'Detalle'!$B$7:$B$923,F$68)</x:f>
        <x:v>156000</x:v>
      </x:c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3" customHeight="1">
      <x:c r="A75" s="11" t="n">
        <x:f>A13</x:f>
        <x:v>46204</x:v>
      </x:c>
      <x:c r="B75" s="10" t="n">
        <x:f>SUMIFS('Detalle'!$F$7:$F$923,'Detalle'!$H$7:$H$923,$A75,'Detalle'!$B$7:$B$923,B$68)</x:f>
        <x:v>265000</x:v>
      </x:c>
      <x:c r="C75" s="10" t="n">
        <x:f>SUMIFS('Detalle'!$F$7:$F$923,'Detalle'!$H$7:$H$923,$A75,'Detalle'!$B$7:$B$923,C$68)</x:f>
        <x:v>525000</x:v>
      </x:c>
      <x:c r="D75" s="10" t="n">
        <x:f>SUMIFS('Detalle'!$F$7:$F$923,'Detalle'!$H$7:$H$923,$A75,'Detalle'!$B$7:$B$923,D$68)</x:f>
        <x:v>340000</x:v>
      </x:c>
      <x:c r="E75" s="10" t="n">
        <x:f>SUMIFS('Detalle'!$F$7:$F$923,'Detalle'!$H$7:$H$923,$A75,'Detalle'!$B$7:$B$923,E$68)</x:f>
        <x:v>221000</x:v>
      </x:c>
      <x:c r="F75" s="10" t="n">
        <x:f>SUMIFS('Detalle'!$F$7:$F$923,'Detalle'!$H$7:$H$923,$A75,'Detalle'!$B$7:$B$923,F$68)</x:f>
        <x:v>120000</x:v>
      </x:c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3" customHeight="1">
      <x:c r="A76" s="11" t="n">
        <x:f>A14</x:f>
        <x:v>46235</x:v>
      </x:c>
      <x:c r="B76" s="10" t="n">
        <x:f>SUMIFS('Detalle'!$F$7:$F$923,'Detalle'!$H$7:$H$923,$A76,'Detalle'!$B$7:$B$923,B$68)</x:f>
        <x:v>380000</x:v>
      </x:c>
      <x:c r="C76" s="10" t="n">
        <x:f>SUMIFS('Detalle'!$F$7:$F$923,'Detalle'!$H$7:$H$923,$A76,'Detalle'!$B$7:$B$923,C$68)</x:f>
        <x:v>645000</x:v>
      </x:c>
      <x:c r="D76" s="10" t="n">
        <x:f>SUMIFS('Detalle'!$F$7:$F$923,'Detalle'!$H$7:$H$923,$A76,'Detalle'!$B$7:$B$923,D$68)</x:f>
        <x:v>460000</x:v>
      </x:c>
      <x:c r="E76" s="10" t="n">
        <x:f>SUMIFS('Detalle'!$F$7:$F$923,'Detalle'!$H$7:$H$923,$A76,'Detalle'!$B$7:$B$923,E$68)</x:f>
        <x:v>182000</x:v>
      </x:c>
      <x:c r="F76" s="10" t="n">
        <x:f>SUMIFS('Detalle'!$F$7:$F$923,'Detalle'!$H$7:$H$923,$A76,'Detalle'!$B$7:$B$923,F$68)</x:f>
        <x:v>216000</x:v>
      </x:c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</x:sheetData>
  <x:conditionalFormatting sqref="L55:L55">
    <x:cfRule type="cellIs" dxfId="0" priority="1" operator="notEqual">
      <x:formula>0</x:formula>
    </x:cfRule>
  </x:conditionalFormatting>
  <x:conditionalFormatting sqref="C7:C14">
    <x:cfRule type="colorScale" priority="2">
      <x:colorScale>
        <x:cfvo type="min"/>
        <x:cfvo type="percentile" val="50"/>
        <x:cfvo type="max"/>
        <x:color rgb="FFFFFFFF"/>
        <x:color rgb="FFFEF3C7"/>
        <x:color rgb="FFF59E0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6" hidden="0" customWidth="1"/>
    <x:col min="4" max="4" width="11" hidden="0" customWidth="1"/>
    <x:col min="5" max="5" width="24" hidden="0" customWidth="1"/>
    <x:col min="6" max="6" width="18" hidden="0" customWidth="1"/>
    <x:col min="7" max="7" width="17" hidden="0" customWidth="1"/>
    <x:col min="8" max="8" width="14" hidden="0" customWidth="1"/>
    <x:col min="9" max="9" width="22" hidden="0" customWidth="1"/>
    <x:col min="10" max="10" width="2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Órdenes de origen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 t="str">
        <x:v>Fuente: ordenes-restaurante-completo.xlsx, hoja Órdenes. Datos simulados.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7" t="str">
        <x:v>Pedido</x:v>
      </x:c>
      <x:c r="B6" s="7" t="str">
        <x:v>Fecha</x:v>
      </x:c>
      <x:c r="C6" s="7" t="str">
        <x:v>Hora</x:v>
      </x:c>
      <x:c r="D6" s="7" t="str">
        <x:v>Mesa</x:v>
      </x:c>
      <x:c r="E6" s="7" t="str">
        <x:v>Venta de la orden</x:v>
      </x:c>
      <x:c r="F6" s="7" t="str">
        <x:v>Revisión</x:v>
      </x:c>
      <x:c r="G6" s="7" t="str">
        <x:v>Mes</x:v>
      </x:c>
      <x:c r="H6" s="7" t="str">
        <x:v>Día ISO</x:v>
      </x:c>
      <x:c r="I6" s="7" t="str">
        <x:v>Primera orden del día</x:v>
      </x:c>
      <x:c r="J6" s="7" t="str">
        <x:v>Incluye gaseosa</x:v>
      </x:c>
    </x:row>
    <x:row r="7" ht="23" customHeight="1">
      <x:c r="A7" s="2" t="str">
        <x:v>SIM-202601-001</x:v>
      </x:c>
      <x:c r="B7" s="8" t="n">
        <x:v>46024</x:v>
      </x:c>
      <x:c r="C7" s="9" t="n">
        <x:v>0.7625</x:v>
      </x:c>
      <x:c r="D7" s="2" t="n">
        <x:v>3</x:v>
      </x:c>
      <x:c r="E7" s="10" t="n">
        <x:v>12000</x:v>
      </x:c>
      <x:c r="F7" s="20" t="str">
        <x:v>Simulado</x:v>
      </x:c>
      <x:c r="G7" s="11" t="n">
        <x:f>DATE(YEAR(B7),MONTH(B7),1)</x:f>
        <x:v>46023</x:v>
      </x:c>
      <x:c r="H7" s="2" t="n">
        <x:f>WEEKDAY(B7,2)</x:f>
        <x:v>5</x:v>
      </x:c>
      <x:c r="I7" s="2" t="n">
        <x:f>IF(COUNTIFS($B$7:B7,B7)=1,1,0)</x:f>
        <x:v>1</x:v>
      </x:c>
      <x:c r="J7" s="2" t="n">
        <x:f>IF(COUNTIFS('Detalle'!$A$7:$A$923,A7,'Detalle'!$B$7:$B$923,"Gaseosas")&gt;0,1,0)</x:f>
        <x:v>0</x:v>
      </x:c>
    </x:row>
    <x:row r="8" ht="23" customHeight="1">
      <x:c r="A8" s="2" t="str">
        <x:v>SIM-202601-002</x:v>
      </x:c>
      <x:c r="B8" s="8" t="n">
        <x:v>46025</x:v>
      </x:c>
      <x:c r="C8" s="9" t="n">
        <x:v>0.7444444444444445</x:v>
      </x:c>
      <x:c r="D8" s="2" t="n">
        <x:v>2</x:v>
      </x:c>
      <x:c r="E8" s="10" t="n">
        <x:v>32000</x:v>
      </x:c>
      <x:c r="F8" s="20" t="str">
        <x:v>Simulado</x:v>
      </x:c>
      <x:c r="G8" s="11" t="n">
        <x:f>DATE(YEAR(B8),MONTH(B8),1)</x:f>
        <x:v>46023</x:v>
      </x:c>
      <x:c r="H8" s="2" t="n">
        <x:f>WEEKDAY(B8,2)</x:f>
        <x:v>6</x:v>
      </x:c>
      <x:c r="I8" s="2" t="n">
        <x:f>IF(COUNTIFS($B$7:B8,B8)=1,1,0)</x:f>
        <x:v>1</x:v>
      </x:c>
      <x:c r="J8" s="2" t="n">
        <x:f>IF(COUNTIFS('Detalle'!$A$7:$A$923,A8,'Detalle'!$B$7:$B$923,"Gaseosas")&gt;0,1,0)</x:f>
        <x:v>1</x:v>
      </x:c>
    </x:row>
    <x:row r="9" ht="23" customHeight="1">
      <x:c r="A9" s="2" t="str">
        <x:v>SIM-202601-003</x:v>
      </x:c>
      <x:c r="B9" s="8" t="n">
        <x:v>46025</x:v>
      </x:c>
      <x:c r="C9" s="9" t="n">
        <x:v>0.7520833333333333</x:v>
      </x:c>
      <x:c r="D9" s="2" t="n">
        <x:v>4</x:v>
      </x:c>
      <x:c r="E9" s="10" t="n">
        <x:v>43000</x:v>
      </x:c>
      <x:c r="F9" s="20" t="str">
        <x:v>Simulado</x:v>
      </x:c>
      <x:c r="G9" s="11" t="n">
        <x:f>DATE(YEAR(B9),MONTH(B9),1)</x:f>
        <x:v>46023</x:v>
      </x:c>
      <x:c r="H9" s="2" t="n">
        <x:f>WEEKDAY(B9,2)</x:f>
        <x:v>6</x:v>
      </x:c>
      <x:c r="I9" s="2" t="n">
        <x:f>IF(COUNTIFS($B$7:B9,B9)=1,1,0)</x:f>
        <x:v>0</x:v>
      </x:c>
      <x:c r="J9" s="2" t="n">
        <x:f>IF(COUNTIFS('Detalle'!$A$7:$A$923,A9,'Detalle'!$B$7:$B$923,"Gaseosas")&gt;0,1,0)</x:f>
        <x:v>1</x:v>
      </x:c>
    </x:row>
    <x:row r="10" ht="23" customHeight="1">
      <x:c r="A10" s="2" t="str">
        <x:v>SIM-202601-004</x:v>
      </x:c>
      <x:c r="B10" s="8" t="n">
        <x:v>46025</x:v>
      </x:c>
      <x:c r="C10" s="9" t="n">
        <x:v>0.8326388888888889</x:v>
      </x:c>
      <x:c r="D10" s="2" t="n">
        <x:v>4</x:v>
      </x:c>
      <x:c r="E10" s="10" t="n">
        <x:v>50000</x:v>
      </x:c>
      <x:c r="F10" s="20" t="str">
        <x:v>Simulado</x:v>
      </x:c>
      <x:c r="G10" s="11" t="n">
        <x:f>DATE(YEAR(B10),MONTH(B10),1)</x:f>
        <x:v>46023</x:v>
      </x:c>
      <x:c r="H10" s="2" t="n">
        <x:f>WEEKDAY(B10,2)</x:f>
        <x:v>6</x:v>
      </x:c>
      <x:c r="I10" s="2" t="n">
        <x:f>IF(COUNTIFS($B$7:B10,B10)=1,1,0)</x:f>
        <x:v>0</x:v>
      </x:c>
      <x:c r="J10" s="2" t="n">
        <x:f>IF(COUNTIFS('Detalle'!$A$7:$A$923,A10,'Detalle'!$B$7:$B$923,"Gaseosas")&gt;0,1,0)</x:f>
        <x:v>1</x:v>
      </x:c>
    </x:row>
    <x:row r="11" ht="23" customHeight="1">
      <x:c r="A11" s="2" t="str">
        <x:v>SIM-202601-005</x:v>
      </x:c>
      <x:c r="B11" s="8" t="n">
        <x:v>46026</x:v>
      </x:c>
      <x:c r="C11" s="9" t="n">
        <x:v>0.76875</x:v>
      </x:c>
      <x:c r="D11" s="2" t="n">
        <x:v>4</x:v>
      </x:c>
      <x:c r="E11" s="10" t="n">
        <x:v>20000</x:v>
      </x:c>
      <x:c r="F11" s="20" t="str">
        <x:v>Simulado</x:v>
      </x:c>
      <x:c r="G11" s="11" t="n">
        <x:f>DATE(YEAR(B11),MONTH(B11),1)</x:f>
        <x:v>46023</x:v>
      </x:c>
      <x:c r="H11" s="2" t="n">
        <x:f>WEEKDAY(B11,2)</x:f>
        <x:v>7</x:v>
      </x:c>
      <x:c r="I11" s="2" t="n">
        <x:f>IF(COUNTIFS($B$7:B11,B11)=1,1,0)</x:f>
        <x:v>1</x:v>
      </x:c>
      <x:c r="J11" s="2" t="n">
        <x:f>IF(COUNTIFS('Detalle'!$A$7:$A$923,A11,'Detalle'!$B$7:$B$923,"Gaseosas")&gt;0,1,0)</x:f>
        <x:v>1</x:v>
      </x:c>
    </x:row>
    <x:row r="12" ht="23" customHeight="1">
      <x:c r="A12" s="2" t="str">
        <x:v>SIM-202601-006</x:v>
      </x:c>
      <x:c r="B12" s="8" t="n">
        <x:v>46026</x:v>
      </x:c>
      <x:c r="C12" s="9" t="n">
        <x:v>0.8305555555555556</x:v>
      </x:c>
      <x:c r="D12" s="2" t="n">
        <x:v>4</x:v>
      </x:c>
      <x:c r="E12" s="10" t="n">
        <x:v>17000</x:v>
      </x:c>
      <x:c r="F12" s="20" t="str">
        <x:v>Simulado</x:v>
      </x:c>
      <x:c r="G12" s="11" t="n">
        <x:f>DATE(YEAR(B12),MONTH(B12),1)</x:f>
        <x:v>46023</x:v>
      </x:c>
      <x:c r="H12" s="2" t="n">
        <x:f>WEEKDAY(B12,2)</x:f>
        <x:v>7</x:v>
      </x:c>
      <x:c r="I12" s="2" t="n">
        <x:f>IF(COUNTIFS($B$7:B12,B12)=1,1,0)</x:f>
        <x:v>0</x:v>
      </x:c>
      <x:c r="J12" s="2" t="n">
        <x:f>IF(COUNTIFS('Detalle'!$A$7:$A$923,A12,'Detalle'!$B$7:$B$923,"Gaseosas")&gt;0,1,0)</x:f>
        <x:v>1</x:v>
      </x:c>
    </x:row>
    <x:row r="13" ht="23" customHeight="1">
      <x:c r="A13" s="2" t="str">
        <x:v>SIM-202601-007</x:v>
      </x:c>
      <x:c r="B13" s="8" t="n">
        <x:v>46029</x:v>
      </x:c>
      <x:c r="C13" s="9" t="n">
        <x:v>0.7798611111111111</x:v>
      </x:c>
      <x:c r="D13" s="2" t="n">
        <x:v>4</x:v>
      </x:c>
      <x:c r="E13" s="10" t="n">
        <x:v>60000</x:v>
      </x:c>
      <x:c r="F13" s="20" t="str">
        <x:v>Simulado</x:v>
      </x:c>
      <x:c r="G13" s="11" t="n">
        <x:f>DATE(YEAR(B13),MONTH(B13),1)</x:f>
        <x:v>46023</x:v>
      </x:c>
      <x:c r="H13" s="2" t="n">
        <x:f>WEEKDAY(B13,2)</x:f>
        <x:v>3</x:v>
      </x:c>
      <x:c r="I13" s="2" t="n">
        <x:f>IF(COUNTIFS($B$7:B13,B13)=1,1,0)</x:f>
        <x:v>1</x:v>
      </x:c>
      <x:c r="J13" s="2" t="n">
        <x:f>IF(COUNTIFS('Detalle'!$A$7:$A$923,A13,'Detalle'!$B$7:$B$923,"Gaseosas")&gt;0,1,0)</x:f>
        <x:v>1</x:v>
      </x:c>
    </x:row>
    <x:row r="14" ht="23" customHeight="1">
      <x:c r="A14" s="2" t="str">
        <x:v>SIM-202601-008</x:v>
      </x:c>
      <x:c r="B14" s="8" t="n">
        <x:v>46029</x:v>
      </x:c>
      <x:c r="C14" s="9" t="n">
        <x:v>0.8458333333333333</x:v>
      </x:c>
      <x:c r="D14" s="2" t="n">
        <x:v>3</x:v>
      </x:c>
      <x:c r="E14" s="10" t="n">
        <x:v>12000</x:v>
      </x:c>
      <x:c r="F14" s="20" t="str">
        <x:v>Simulado</x:v>
      </x:c>
      <x:c r="G14" s="11" t="n">
        <x:f>DATE(YEAR(B14),MONTH(B14),1)</x:f>
        <x:v>46023</x:v>
      </x:c>
      <x:c r="H14" s="2" t="n">
        <x:f>WEEKDAY(B14,2)</x:f>
        <x:v>3</x:v>
      </x:c>
      <x:c r="I14" s="2" t="n">
        <x:f>IF(COUNTIFS($B$7:B14,B14)=1,1,0)</x:f>
        <x:v>0</x:v>
      </x:c>
      <x:c r="J14" s="2" t="n">
        <x:f>IF(COUNTIFS('Detalle'!$A$7:$A$923,A14,'Detalle'!$B$7:$B$923,"Gaseosas")&gt;0,1,0)</x:f>
        <x:v>0</x:v>
      </x:c>
    </x:row>
    <x:row r="15" ht="23" customHeight="1">
      <x:c r="A15" s="2" t="str">
        <x:v>SIM-202601-009</x:v>
      </x:c>
      <x:c r="B15" s="8" t="n">
        <x:v>46030</x:v>
      </x:c>
      <x:c r="C15" s="9" t="n">
        <x:v>0.7680555555555556</x:v>
      </x:c>
      <x:c r="D15" s="2" t="n">
        <x:v>3</x:v>
      </x:c>
      <x:c r="E15" s="10" t="n">
        <x:v>20000</x:v>
      </x:c>
      <x:c r="F15" s="20" t="str">
        <x:v>Simulado</x:v>
      </x:c>
      <x:c r="G15" s="11" t="n">
        <x:f>DATE(YEAR(B15),MONTH(B15),1)</x:f>
        <x:v>46023</x:v>
      </x:c>
      <x:c r="H15" s="2" t="n">
        <x:f>WEEKDAY(B15,2)</x:f>
        <x:v>4</x:v>
      </x:c>
      <x:c r="I15" s="2" t="n">
        <x:f>IF(COUNTIFS($B$7:B15,B15)=1,1,0)</x:f>
        <x:v>1</x:v>
      </x:c>
      <x:c r="J15" s="2" t="n">
        <x:f>IF(COUNTIFS('Detalle'!$A$7:$A$923,A15,'Detalle'!$B$7:$B$923,"Gaseosas")&gt;0,1,0)</x:f>
        <x:v>1</x:v>
      </x:c>
    </x:row>
    <x:row r="16" ht="23" customHeight="1">
      <x:c r="A16" s="2" t="str">
        <x:v>SIM-202601-010</x:v>
      </x:c>
      <x:c r="B16" s="8" t="n">
        <x:v>46033</x:v>
      </x:c>
      <x:c r="C16" s="9" t="n">
        <x:v>0.80625</x:v>
      </x:c>
      <x:c r="D16" s="2" t="n">
        <x:v>1</x:v>
      </x:c>
      <x:c r="E16" s="10" t="n">
        <x:v>13000</x:v>
      </x:c>
      <x:c r="F16" s="20" t="str">
        <x:v>Simulado</x:v>
      </x:c>
      <x:c r="G16" s="11" t="n">
        <x:f>DATE(YEAR(B16),MONTH(B16),1)</x:f>
        <x:v>46023</x:v>
      </x:c>
      <x:c r="H16" s="2" t="n">
        <x:f>WEEKDAY(B16,2)</x:f>
        <x:v>7</x:v>
      </x:c>
      <x:c r="I16" s="2" t="n">
        <x:f>IF(COUNTIFS($B$7:B16,B16)=1,1,0)</x:f>
        <x:v>1</x:v>
      </x:c>
      <x:c r="J16" s="2" t="n">
        <x:f>IF(COUNTIFS('Detalle'!$A$7:$A$923,A16,'Detalle'!$B$7:$B$923,"Gaseosas")&gt;0,1,0)</x:f>
        <x:v>0</x:v>
      </x:c>
    </x:row>
    <x:row r="17" ht="23" customHeight="1">
      <x:c r="A17" s="2" t="str">
        <x:v>SIM-202601-011</x:v>
      </x:c>
      <x:c r="B17" s="8" t="n">
        <x:v>46035</x:v>
      </x:c>
      <x:c r="C17" s="9" t="n">
        <x:v>0.7729166666666667</x:v>
      </x:c>
      <x:c r="D17" s="2" t="n">
        <x:v>3</x:v>
      </x:c>
      <x:c r="E17" s="10" t="n">
        <x:v>50000</x:v>
      </x:c>
      <x:c r="F17" s="20" t="str">
        <x:v>Simulado</x:v>
      </x:c>
      <x:c r="G17" s="11" t="n">
        <x:f>DATE(YEAR(B17),MONTH(B17),1)</x:f>
        <x:v>46023</x:v>
      </x:c>
      <x:c r="H17" s="2" t="n">
        <x:f>WEEKDAY(B17,2)</x:f>
        <x:v>2</x:v>
      </x:c>
      <x:c r="I17" s="2" t="n">
        <x:f>IF(COUNTIFS($B$7:B17,B17)=1,1,0)</x:f>
        <x:v>1</x:v>
      </x:c>
      <x:c r="J17" s="2" t="n">
        <x:f>IF(COUNTIFS('Detalle'!$A$7:$A$923,A17,'Detalle'!$B$7:$B$923,"Gaseosas")&gt;0,1,0)</x:f>
        <x:v>1</x:v>
      </x:c>
    </x:row>
    <x:row r="18" ht="23" customHeight="1">
      <x:c r="A18" s="2" t="str">
        <x:v>SIM-202601-012</x:v>
      </x:c>
      <x:c r="B18" s="8" t="n">
        <x:v>46035</x:v>
      </x:c>
      <x:c r="C18" s="9" t="n">
        <x:v>0.8513888888888889</x:v>
      </x:c>
      <x:c r="D18" s="2" t="n">
        <x:v>4</x:v>
      </x:c>
      <x:c r="E18" s="10" t="n">
        <x:v>17000</x:v>
      </x:c>
      <x:c r="F18" s="20" t="str">
        <x:v>Simulado</x:v>
      </x:c>
      <x:c r="G18" s="11" t="n">
        <x:f>DATE(YEAR(B18),MONTH(B18),1)</x:f>
        <x:v>46023</x:v>
      </x:c>
      <x:c r="H18" s="2" t="n">
        <x:f>WEEKDAY(B18,2)</x:f>
        <x:v>2</x:v>
      </x:c>
      <x:c r="I18" s="2" t="n">
        <x:f>IF(COUNTIFS($B$7:B18,B18)=1,1,0)</x:f>
        <x:v>0</x:v>
      </x:c>
      <x:c r="J18" s="2" t="n">
        <x:f>IF(COUNTIFS('Detalle'!$A$7:$A$923,A18,'Detalle'!$B$7:$B$923,"Gaseosas")&gt;0,1,0)</x:f>
        <x:v>1</x:v>
      </x:c>
    </x:row>
    <x:row r="19" ht="23" customHeight="1">
      <x:c r="A19" s="2" t="str">
        <x:v>SIM-202601-013</x:v>
      </x:c>
      <x:c r="B19" s="8" t="n">
        <x:v>46036</x:v>
      </x:c>
      <x:c r="C19" s="9" t="n">
        <x:v>0.8006944444444445</x:v>
      </x:c>
      <x:c r="D19" s="2" t="n">
        <x:v>3</x:v>
      </x:c>
      <x:c r="E19" s="10" t="n">
        <x:v>25000</x:v>
      </x:c>
      <x:c r="F19" s="20" t="str">
        <x:v>Simulado</x:v>
      </x:c>
      <x:c r="G19" s="11" t="n">
        <x:f>DATE(YEAR(B19),MONTH(B19),1)</x:f>
        <x:v>46023</x:v>
      </x:c>
      <x:c r="H19" s="2" t="n">
        <x:f>WEEKDAY(B19,2)</x:f>
        <x:v>3</x:v>
      </x:c>
      <x:c r="I19" s="2" t="n">
        <x:f>IF(COUNTIFS($B$7:B19,B19)=1,1,0)</x:f>
        <x:v>1</x:v>
      </x:c>
      <x:c r="J19" s="2" t="n">
        <x:f>IF(COUNTIFS('Detalle'!$A$7:$A$923,A19,'Detalle'!$B$7:$B$923,"Gaseosas")&gt;0,1,0)</x:f>
        <x:v>1</x:v>
      </x:c>
    </x:row>
    <x:row r="20" ht="23" customHeight="1">
      <x:c r="A20" s="2" t="str">
        <x:v>SIM-202601-014</x:v>
      </x:c>
      <x:c r="B20" s="8" t="n">
        <x:v>46037</x:v>
      </x:c>
      <x:c r="C20" s="9" t="n">
        <x:v>0.8416666666666667</x:v>
      </x:c>
      <x:c r="D20" s="2" t="n">
        <x:v>4</x:v>
      </x:c>
      <x:c r="E20" s="10" t="n">
        <x:v>18000</x:v>
      </x:c>
      <x:c r="F20" s="20" t="str">
        <x:v>Simulado</x:v>
      </x:c>
      <x:c r="G20" s="11" t="n">
        <x:f>DATE(YEAR(B20),MONTH(B20),1)</x:f>
        <x:v>46023</x:v>
      </x:c>
      <x:c r="H20" s="2" t="n">
        <x:f>WEEKDAY(B20,2)</x:f>
        <x:v>4</x:v>
      </x:c>
      <x:c r="I20" s="2" t="n">
        <x:f>IF(COUNTIFS($B$7:B20,B20)=1,1,0)</x:f>
        <x:v>1</x:v>
      </x:c>
      <x:c r="J20" s="2" t="n">
        <x:f>IF(COUNTIFS('Detalle'!$A$7:$A$923,A20,'Detalle'!$B$7:$B$923,"Gaseosas")&gt;0,1,0)</x:f>
        <x:v>1</x:v>
      </x:c>
    </x:row>
    <x:row r="21" ht="23" customHeight="1">
      <x:c r="A21" s="2" t="str">
        <x:v>SIM-202601-015</x:v>
      </x:c>
      <x:c r="B21" s="8" t="n">
        <x:v>46038</x:v>
      </x:c>
      <x:c r="C21" s="9" t="n">
        <x:v>0.7909722222222222</x:v>
      </x:c>
      <x:c r="D21" s="2" t="n">
        <x:v>3</x:v>
      </x:c>
      <x:c r="E21" s="10" t="n">
        <x:v>45000</x:v>
      </x:c>
      <x:c r="F21" s="20" t="str">
        <x:v>Simulado</x:v>
      </x:c>
      <x:c r="G21" s="11" t="n">
        <x:f>DATE(YEAR(B21),MONTH(B21),1)</x:f>
        <x:v>46023</x:v>
      </x:c>
      <x:c r="H21" s="2" t="n">
        <x:f>WEEKDAY(B21,2)</x:f>
        <x:v>5</x:v>
      </x:c>
      <x:c r="I21" s="2" t="n">
        <x:f>IF(COUNTIFS($B$7:B21,B21)=1,1,0)</x:f>
        <x:v>1</x:v>
      </x:c>
      <x:c r="J21" s="2" t="n">
        <x:f>IF(COUNTIFS('Detalle'!$A$7:$A$923,A21,'Detalle'!$B$7:$B$923,"Gaseosas")&gt;0,1,0)</x:f>
        <x:v>1</x:v>
      </x:c>
    </x:row>
    <x:row r="22" ht="23" customHeight="1">
      <x:c r="A22" s="2" t="str">
        <x:v>SIM-202601-016</x:v>
      </x:c>
      <x:c r="B22" s="8" t="n">
        <x:v>46038</x:v>
      </x:c>
      <x:c r="C22" s="9" t="n">
        <x:v>0.79375</x:v>
      </x:c>
      <x:c r="D22" s="2" t="n">
        <x:v>4</x:v>
      </x:c>
      <x:c r="E22" s="10" t="n">
        <x:v>67000</x:v>
      </x:c>
      <x:c r="F22" s="20" t="str">
        <x:v>Simulado</x:v>
      </x:c>
      <x:c r="G22" s="11" t="n">
        <x:f>DATE(YEAR(B22),MONTH(B22),1)</x:f>
        <x:v>46023</x:v>
      </x:c>
      <x:c r="H22" s="2" t="n">
        <x:f>WEEKDAY(B22,2)</x:f>
        <x:v>5</x:v>
      </x:c>
      <x:c r="I22" s="2" t="n">
        <x:f>IF(COUNTIFS($B$7:B22,B22)=1,1,0)</x:f>
        <x:v>0</x:v>
      </x:c>
      <x:c r="J22" s="2" t="n">
        <x:f>IF(COUNTIFS('Detalle'!$A$7:$A$923,A22,'Detalle'!$B$7:$B$923,"Gaseosas")&gt;0,1,0)</x:f>
        <x:v>1</x:v>
      </x:c>
    </x:row>
    <x:row r="23" ht="23" customHeight="1">
      <x:c r="A23" s="2" t="str">
        <x:v>SIM-202601-017</x:v>
      </x:c>
      <x:c r="B23" s="8" t="n">
        <x:v>46038</x:v>
      </x:c>
      <x:c r="C23" s="9" t="n">
        <x:v>0.8090277777777778</x:v>
      </x:c>
      <x:c r="D23" s="2" t="n">
        <x:v>2</x:v>
      </x:c>
      <x:c r="E23" s="10" t="n">
        <x:v>37000</x:v>
      </x:c>
      <x:c r="F23" s="20" t="str">
        <x:v>Simulado</x:v>
      </x:c>
      <x:c r="G23" s="11" t="n">
        <x:f>DATE(YEAR(B23),MONTH(B23),1)</x:f>
        <x:v>46023</x:v>
      </x:c>
      <x:c r="H23" s="2" t="n">
        <x:f>WEEKDAY(B23,2)</x:f>
        <x:v>5</x:v>
      </x:c>
      <x:c r="I23" s="2" t="n">
        <x:f>IF(COUNTIFS($B$7:B23,B23)=1,1,0)</x:f>
        <x:v>0</x:v>
      </x:c>
      <x:c r="J23" s="2" t="n">
        <x:f>IF(COUNTIFS('Detalle'!$A$7:$A$923,A23,'Detalle'!$B$7:$B$923,"Gaseosas")&gt;0,1,0)</x:f>
        <x:v>1</x:v>
      </x:c>
    </x:row>
    <x:row r="24" ht="23" customHeight="1">
      <x:c r="A24" s="2" t="str">
        <x:v>SIM-202601-018</x:v>
      </x:c>
      <x:c r="B24" s="8" t="n">
        <x:v>46039</x:v>
      </x:c>
      <x:c r="C24" s="9" t="n">
        <x:v>0.7368055555555556</x:v>
      </x:c>
      <x:c r="D24" s="2" t="n">
        <x:v>3</x:v>
      </x:c>
      <x:c r="E24" s="10" t="n">
        <x:v>20000</x:v>
      </x:c>
      <x:c r="F24" s="20" t="str">
        <x:v>Simulado</x:v>
      </x:c>
      <x:c r="G24" s="11" t="n">
        <x:f>DATE(YEAR(B24),MONTH(B24),1)</x:f>
        <x:v>46023</x:v>
      </x:c>
      <x:c r="H24" s="2" t="n">
        <x:f>WEEKDAY(B24,2)</x:f>
        <x:v>6</x:v>
      </x:c>
      <x:c r="I24" s="2" t="n">
        <x:f>IF(COUNTIFS($B$7:B24,B24)=1,1,0)</x:f>
        <x:v>1</x:v>
      </x:c>
      <x:c r="J24" s="2" t="n">
        <x:f>IF(COUNTIFS('Detalle'!$A$7:$A$923,A24,'Detalle'!$B$7:$B$923,"Gaseosas")&gt;0,1,0)</x:f>
        <x:v>1</x:v>
      </x:c>
    </x:row>
    <x:row r="25" ht="23" customHeight="1">
      <x:c r="A25" s="2" t="str">
        <x:v>SIM-202601-019</x:v>
      </x:c>
      <x:c r="B25" s="8" t="n">
        <x:v>46039</x:v>
      </x:c>
      <x:c r="C25" s="9" t="n">
        <x:v>0.7833333333333333</x:v>
      </x:c>
      <x:c r="D25" s="2" t="n">
        <x:v>1</x:v>
      </x:c>
      <x:c r="E25" s="10" t="n">
        <x:v>20000</x:v>
      </x:c>
      <x:c r="F25" s="20" t="str">
        <x:v>Simulado</x:v>
      </x:c>
      <x:c r="G25" s="11" t="n">
        <x:f>DATE(YEAR(B25),MONTH(B25),1)</x:f>
        <x:v>46023</x:v>
      </x:c>
      <x:c r="H25" s="2" t="n">
        <x:f>WEEKDAY(B25,2)</x:f>
        <x:v>6</x:v>
      </x:c>
      <x:c r="I25" s="2" t="n">
        <x:f>IF(COUNTIFS($B$7:B25,B25)=1,1,0)</x:f>
        <x:v>0</x:v>
      </x:c>
      <x:c r="J25" s="2" t="n">
        <x:f>IF(COUNTIFS('Detalle'!$A$7:$A$923,A25,'Detalle'!$B$7:$B$923,"Gaseosas")&gt;0,1,0)</x:f>
        <x:v>1</x:v>
      </x:c>
    </x:row>
    <x:row r="26" ht="23" customHeight="1">
      <x:c r="A26" s="2" t="str">
        <x:v>SIM-202601-020</x:v>
      </x:c>
      <x:c r="B26" s="8" t="n">
        <x:v>46039</x:v>
      </x:c>
      <x:c r="C26" s="9" t="n">
        <x:v>0.7895833333333333</x:v>
      </x:c>
      <x:c r="D26" s="2" t="n">
        <x:v>2</x:v>
      </x:c>
      <x:c r="E26" s="10" t="n">
        <x:v>37000</x:v>
      </x:c>
      <x:c r="F26" s="20" t="str">
        <x:v>Simulado</x:v>
      </x:c>
      <x:c r="G26" s="11" t="n">
        <x:f>DATE(YEAR(B26),MONTH(B26),1)</x:f>
        <x:v>46023</x:v>
      </x:c>
      <x:c r="H26" s="2" t="n">
        <x:f>WEEKDAY(B26,2)</x:f>
        <x:v>6</x:v>
      </x:c>
      <x:c r="I26" s="2" t="n">
        <x:f>IF(COUNTIFS($B$7:B26,B26)=1,1,0)</x:f>
        <x:v>0</x:v>
      </x:c>
      <x:c r="J26" s="2" t="n">
        <x:f>IF(COUNTIFS('Detalle'!$A$7:$A$923,A26,'Detalle'!$B$7:$B$923,"Gaseosas")&gt;0,1,0)</x:f>
        <x:v>1</x:v>
      </x:c>
    </x:row>
    <x:row r="27" ht="23" customHeight="1">
      <x:c r="A27" s="2" t="str">
        <x:v>SIM-202601-021</x:v>
      </x:c>
      <x:c r="B27" s="8" t="n">
        <x:v>46039</x:v>
      </x:c>
      <x:c r="C27" s="9" t="n">
        <x:v>0.8430555555555556</x:v>
      </x:c>
      <x:c r="D27" s="2" t="n">
        <x:v>1</x:v>
      </x:c>
      <x:c r="E27" s="10" t="n">
        <x:v>68000</x:v>
      </x:c>
      <x:c r="F27" s="20" t="str">
        <x:v>Simulado</x:v>
      </x:c>
      <x:c r="G27" s="11" t="n">
        <x:f>DATE(YEAR(B27),MONTH(B27),1)</x:f>
        <x:v>46023</x:v>
      </x:c>
      <x:c r="H27" s="2" t="n">
        <x:f>WEEKDAY(B27,2)</x:f>
        <x:v>6</x:v>
      </x:c>
      <x:c r="I27" s="2" t="n">
        <x:f>IF(COUNTIFS($B$7:B27,B27)=1,1,0)</x:f>
        <x:v>0</x:v>
      </x:c>
      <x:c r="J27" s="2" t="n">
        <x:f>IF(COUNTIFS('Detalle'!$A$7:$A$923,A27,'Detalle'!$B$7:$B$923,"Gaseosas")&gt;0,1,0)</x:f>
        <x:v>1</x:v>
      </x:c>
    </x:row>
    <x:row r="28" ht="23" customHeight="1">
      <x:c r="A28" s="2" t="str">
        <x:v>SIM-202601-022</x:v>
      </x:c>
      <x:c r="B28" s="8" t="n">
        <x:v>46040</x:v>
      </x:c>
      <x:c r="C28" s="9" t="n">
        <x:v>0.8048611111111111</x:v>
      </x:c>
      <x:c r="D28" s="2" t="n">
        <x:v>3</x:v>
      </x:c>
      <x:c r="E28" s="10" t="n">
        <x:v>30000</x:v>
      </x:c>
      <x:c r="F28" s="20" t="str">
        <x:v>Simulado</x:v>
      </x:c>
      <x:c r="G28" s="11" t="n">
        <x:f>DATE(YEAR(B28),MONTH(B28),1)</x:f>
        <x:v>46023</x:v>
      </x:c>
      <x:c r="H28" s="2" t="n">
        <x:f>WEEKDAY(B28,2)</x:f>
        <x:v>7</x:v>
      </x:c>
      <x:c r="I28" s="2" t="n">
        <x:f>IF(COUNTIFS($B$7:B28,B28)=1,1,0)</x:f>
        <x:v>1</x:v>
      </x:c>
      <x:c r="J28" s="2" t="n">
        <x:f>IF(COUNTIFS('Detalle'!$A$7:$A$923,A28,'Detalle'!$B$7:$B$923,"Gaseosas")&gt;0,1,0)</x:f>
        <x:v>1</x:v>
      </x:c>
    </x:row>
    <x:row r="29" ht="23" customHeight="1">
      <x:c r="A29" s="2" t="str">
        <x:v>SIM-202601-023</x:v>
      </x:c>
      <x:c r="B29" s="8" t="n">
        <x:v>46040</x:v>
      </x:c>
      <x:c r="C29" s="9" t="n">
        <x:v>0.8125</x:v>
      </x:c>
      <x:c r="D29" s="2" t="n">
        <x:v>3</x:v>
      </x:c>
      <x:c r="E29" s="10" t="n">
        <x:v>83000</x:v>
      </x:c>
      <x:c r="F29" s="20" t="str">
        <x:v>Simulado</x:v>
      </x:c>
      <x:c r="G29" s="11" t="n">
        <x:f>DATE(YEAR(B29),MONTH(B29),1)</x:f>
        <x:v>46023</x:v>
      </x:c>
      <x:c r="H29" s="2" t="n">
        <x:f>WEEKDAY(B29,2)</x:f>
        <x:v>7</x:v>
      </x:c>
      <x:c r="I29" s="2" t="n">
        <x:f>IF(COUNTIFS($B$7:B29,B29)=1,1,0)</x:f>
        <x:v>0</x:v>
      </x:c>
      <x:c r="J29" s="2" t="n">
        <x:f>IF(COUNTIFS('Detalle'!$A$7:$A$923,A29,'Detalle'!$B$7:$B$923,"Gaseosas")&gt;0,1,0)</x:f>
        <x:v>1</x:v>
      </x:c>
    </x:row>
    <x:row r="30" ht="23" customHeight="1">
      <x:c r="A30" s="2" t="str">
        <x:v>SIM-202601-024</x:v>
      </x:c>
      <x:c r="B30" s="8" t="n">
        <x:v>46040</x:v>
      </x:c>
      <x:c r="C30" s="9" t="n">
        <x:v>0.8451388888888889</x:v>
      </x:c>
      <x:c r="D30" s="2" t="n">
        <x:v>3</x:v>
      </x:c>
      <x:c r="E30" s="10" t="n">
        <x:v>25000</x:v>
      </x:c>
      <x:c r="F30" s="20" t="str">
        <x:v>Simulado</x:v>
      </x:c>
      <x:c r="G30" s="11" t="n">
        <x:f>DATE(YEAR(B30),MONTH(B30),1)</x:f>
        <x:v>46023</x:v>
      </x:c>
      <x:c r="H30" s="2" t="n">
        <x:f>WEEKDAY(B30,2)</x:f>
        <x:v>7</x:v>
      </x:c>
      <x:c r="I30" s="2" t="n">
        <x:f>IF(COUNTIFS($B$7:B30,B30)=1,1,0)</x:f>
        <x:v>0</x:v>
      </x:c>
      <x:c r="J30" s="2" t="n">
        <x:f>IF(COUNTIFS('Detalle'!$A$7:$A$923,A30,'Detalle'!$B$7:$B$923,"Gaseosas")&gt;0,1,0)</x:f>
        <x:v>1</x:v>
      </x:c>
    </x:row>
    <x:row r="31" ht="23" customHeight="1">
      <x:c r="A31" s="2" t="str">
        <x:v>SIM-202601-025</x:v>
      </x:c>
      <x:c r="B31" s="8" t="n">
        <x:v>46043</x:v>
      </x:c>
      <x:c r="C31" s="9" t="n">
        <x:v>0.7763888888888889</x:v>
      </x:c>
      <x:c r="D31" s="2" t="n">
        <x:v>1</x:v>
      </x:c>
      <x:c r="E31" s="10" t="n">
        <x:v>25000</x:v>
      </x:c>
      <x:c r="F31" s="20" t="str">
        <x:v>Simulado</x:v>
      </x:c>
      <x:c r="G31" s="11" t="n">
        <x:f>DATE(YEAR(B31),MONTH(B31),1)</x:f>
        <x:v>46023</x:v>
      </x:c>
      <x:c r="H31" s="2" t="n">
        <x:f>WEEKDAY(B31,2)</x:f>
        <x:v>3</x:v>
      </x:c>
      <x:c r="I31" s="2" t="n">
        <x:f>IF(COUNTIFS($B$7:B31,B31)=1,1,0)</x:f>
        <x:v>1</x:v>
      </x:c>
      <x:c r="J31" s="2" t="n">
        <x:f>IF(COUNTIFS('Detalle'!$A$7:$A$923,A31,'Detalle'!$B$7:$B$923,"Gaseosas")&gt;0,1,0)</x:f>
        <x:v>1</x:v>
      </x:c>
    </x:row>
    <x:row r="32" ht="23" customHeight="1">
      <x:c r="A32" s="2" t="str">
        <x:v>SIM-202601-026</x:v>
      </x:c>
      <x:c r="B32" s="8" t="n">
        <x:v>46044</x:v>
      </x:c>
      <x:c r="C32" s="9" t="n">
        <x:v>0.7263888888888889</x:v>
      </x:c>
      <x:c r="D32" s="2" t="n">
        <x:v>3</x:v>
      </x:c>
      <x:c r="E32" s="10" t="n">
        <x:v>60000</x:v>
      </x:c>
      <x:c r="F32" s="20" t="str">
        <x:v>Simulado</x:v>
      </x:c>
      <x:c r="G32" s="11" t="n">
        <x:f>DATE(YEAR(B32),MONTH(B32),1)</x:f>
        <x:v>46023</x:v>
      </x:c>
      <x:c r="H32" s="2" t="n">
        <x:f>WEEKDAY(B32,2)</x:f>
        <x:v>4</x:v>
      </x:c>
      <x:c r="I32" s="2" t="n">
        <x:f>IF(COUNTIFS($B$7:B32,B32)=1,1,0)</x:f>
        <x:v>1</x:v>
      </x:c>
      <x:c r="J32" s="2" t="n">
        <x:f>IF(COUNTIFS('Detalle'!$A$7:$A$923,A32,'Detalle'!$B$7:$B$923,"Gaseosas")&gt;0,1,0)</x:f>
        <x:v>1</x:v>
      </x:c>
    </x:row>
    <x:row r="33" ht="23" customHeight="1">
      <x:c r="A33" s="2" t="str">
        <x:v>SIM-202601-027</x:v>
      </x:c>
      <x:c r="B33" s="8" t="n">
        <x:v>46044</x:v>
      </x:c>
      <x:c r="C33" s="9" t="n">
        <x:v>0.8263888888888888</x:v>
      </x:c>
      <x:c r="D33" s="2" t="n">
        <x:v>3</x:v>
      </x:c>
      <x:c r="E33" s="10" t="n">
        <x:v>17000</x:v>
      </x:c>
      <x:c r="F33" s="20" t="str">
        <x:v>Simulado</x:v>
      </x:c>
      <x:c r="G33" s="11" t="n">
        <x:f>DATE(YEAR(B33),MONTH(B33),1)</x:f>
        <x:v>46023</x:v>
      </x:c>
      <x:c r="H33" s="2" t="n">
        <x:f>WEEKDAY(B33,2)</x:f>
        <x:v>4</x:v>
      </x:c>
      <x:c r="I33" s="2" t="n">
        <x:f>IF(COUNTIFS($B$7:B33,B33)=1,1,0)</x:f>
        <x:v>0</x:v>
      </x:c>
      <x:c r="J33" s="2" t="n">
        <x:f>IF(COUNTIFS('Detalle'!$A$7:$A$923,A33,'Detalle'!$B$7:$B$923,"Gaseosas")&gt;0,1,0)</x:f>
        <x:v>1</x:v>
      </x:c>
    </x:row>
    <x:row r="34" ht="23" customHeight="1">
      <x:c r="A34" s="2" t="str">
        <x:v>SIM-202601-028</x:v>
      </x:c>
      <x:c r="B34" s="8" t="n">
        <x:v>46045</x:v>
      </x:c>
      <x:c r="C34" s="9" t="n">
        <x:v>0.8472222222222222</x:v>
      </x:c>
      <x:c r="D34" s="2" t="n">
        <x:v>1</x:v>
      </x:c>
      <x:c r="E34" s="10" t="n">
        <x:v>32000</x:v>
      </x:c>
      <x:c r="F34" s="20" t="str">
        <x:v>Simulado</x:v>
      </x:c>
      <x:c r="G34" s="11" t="n">
        <x:f>DATE(YEAR(B34),MONTH(B34),1)</x:f>
        <x:v>46023</x:v>
      </x:c>
      <x:c r="H34" s="2" t="n">
        <x:f>WEEKDAY(B34,2)</x:f>
        <x:v>5</x:v>
      </x:c>
      <x:c r="I34" s="2" t="n">
        <x:f>IF(COUNTIFS($B$7:B34,B34)=1,1,0)</x:f>
        <x:v>1</x:v>
      </x:c>
      <x:c r="J34" s="2" t="n">
        <x:f>IF(COUNTIFS('Detalle'!$A$7:$A$923,A34,'Detalle'!$B$7:$B$923,"Gaseosas")&gt;0,1,0)</x:f>
        <x:v>1</x:v>
      </x:c>
    </x:row>
    <x:row r="35" ht="23" customHeight="1">
      <x:c r="A35" s="2" t="str">
        <x:v>SIM-202601-029</x:v>
      </x:c>
      <x:c r="B35" s="8" t="n">
        <x:v>46045</x:v>
      </x:c>
      <x:c r="C35" s="9" t="n">
        <x:v>0.8743055555555556</x:v>
      </x:c>
      <x:c r="D35" s="2" t="n">
        <x:v>1</x:v>
      </x:c>
      <x:c r="E35" s="10" t="n">
        <x:v>65000</x:v>
      </x:c>
      <x:c r="F35" s="20" t="str">
        <x:v>Simulado</x:v>
      </x:c>
      <x:c r="G35" s="11" t="n">
        <x:f>DATE(YEAR(B35),MONTH(B35),1)</x:f>
        <x:v>46023</x:v>
      </x:c>
      <x:c r="H35" s="2" t="n">
        <x:f>WEEKDAY(B35,2)</x:f>
        <x:v>5</x:v>
      </x:c>
      <x:c r="I35" s="2" t="n">
        <x:f>IF(COUNTIFS($B$7:B35,B35)=1,1,0)</x:f>
        <x:v>0</x:v>
      </x:c>
      <x:c r="J35" s="2" t="n">
        <x:f>IF(COUNTIFS('Detalle'!$A$7:$A$923,A35,'Detalle'!$B$7:$B$923,"Gaseosas")&gt;0,1,0)</x:f>
        <x:v>1</x:v>
      </x:c>
    </x:row>
    <x:row r="36" ht="23" customHeight="1">
      <x:c r="A36" s="2" t="str">
        <x:v>SIM-202601-030</x:v>
      </x:c>
      <x:c r="B36" s="8" t="n">
        <x:v>46046</x:v>
      </x:c>
      <x:c r="C36" s="9" t="n">
        <x:v>0.8159722222222222</x:v>
      </x:c>
      <x:c r="D36" s="2" t="n">
        <x:v>4</x:v>
      </x:c>
      <x:c r="E36" s="10" t="n">
        <x:v>68000</x:v>
      </x:c>
      <x:c r="F36" s="20" t="str">
        <x:v>Simulado</x:v>
      </x:c>
      <x:c r="G36" s="11" t="n">
        <x:f>DATE(YEAR(B36),MONTH(B36),1)</x:f>
        <x:v>46023</x:v>
      </x:c>
      <x:c r="H36" s="2" t="n">
        <x:f>WEEKDAY(B36,2)</x:f>
        <x:v>6</x:v>
      </x:c>
      <x:c r="I36" s="2" t="n">
        <x:f>IF(COUNTIFS($B$7:B36,B36)=1,1,0)</x:f>
        <x:v>1</x:v>
      </x:c>
      <x:c r="J36" s="2" t="n">
        <x:f>IF(COUNTIFS('Detalle'!$A$7:$A$923,A36,'Detalle'!$B$7:$B$923,"Gaseosas")&gt;0,1,0)</x:f>
        <x:v>1</x:v>
      </x:c>
    </x:row>
    <x:row r="37" ht="23" customHeight="1">
      <x:c r="A37" s="2" t="str">
        <x:v>SIM-202601-031</x:v>
      </x:c>
      <x:c r="B37" s="8" t="n">
        <x:v>46047</x:v>
      </x:c>
      <x:c r="C37" s="9" t="n">
        <x:v>0.8229166666666666</x:v>
      </x:c>
      <x:c r="D37" s="2" t="n">
        <x:v>4</x:v>
      </x:c>
      <x:c r="E37" s="10" t="n">
        <x:v>20000</x:v>
      </x:c>
      <x:c r="F37" s="20" t="str">
        <x:v>Simulado</x:v>
      </x:c>
      <x:c r="G37" s="11" t="n">
        <x:f>DATE(YEAR(B37),MONTH(B37),1)</x:f>
        <x:v>46023</x:v>
      </x:c>
      <x:c r="H37" s="2" t="n">
        <x:f>WEEKDAY(B37,2)</x:f>
        <x:v>7</x:v>
      </x:c>
      <x:c r="I37" s="2" t="n">
        <x:f>IF(COUNTIFS($B$7:B37,B37)=1,1,0)</x:f>
        <x:v>1</x:v>
      </x:c>
      <x:c r="J37" s="2" t="n">
        <x:f>IF(COUNTIFS('Detalle'!$A$7:$A$923,A37,'Detalle'!$B$7:$B$923,"Gaseosas")&gt;0,1,0)</x:f>
        <x:v>1</x:v>
      </x:c>
    </x:row>
    <x:row r="38" ht="23" customHeight="1">
      <x:c r="A38" s="2" t="str">
        <x:v>SIM-202601-032</x:v>
      </x:c>
      <x:c r="B38" s="8" t="n">
        <x:v>46047</x:v>
      </x:c>
      <x:c r="C38" s="9" t="n">
        <x:v>0.8270833333333333</x:v>
      </x:c>
      <x:c r="D38" s="2" t="n">
        <x:v>2</x:v>
      </x:c>
      <x:c r="E38" s="10" t="n">
        <x:v>40000</x:v>
      </x:c>
      <x:c r="F38" s="20" t="str">
        <x:v>Simulado</x:v>
      </x:c>
      <x:c r="G38" s="11" t="n">
        <x:f>DATE(YEAR(B38),MONTH(B38),1)</x:f>
        <x:v>46023</x:v>
      </x:c>
      <x:c r="H38" s="2" t="n">
        <x:f>WEEKDAY(B38,2)</x:f>
        <x:v>7</x:v>
      </x:c>
      <x:c r="I38" s="2" t="n">
        <x:f>IF(COUNTIFS($B$7:B38,B38)=1,1,0)</x:f>
        <x:v>0</x:v>
      </x:c>
      <x:c r="J38" s="2" t="n">
        <x:f>IF(COUNTIFS('Detalle'!$A$7:$A$923,A38,'Detalle'!$B$7:$B$923,"Gaseosas")&gt;0,1,0)</x:f>
        <x:v>1</x:v>
      </x:c>
    </x:row>
    <x:row r="39" ht="23" customHeight="1">
      <x:c r="A39" s="2" t="str">
        <x:v>SIM-202601-033</x:v>
      </x:c>
      <x:c r="B39" s="8" t="n">
        <x:v>46050</x:v>
      </x:c>
      <x:c r="C39" s="9" t="n">
        <x:v>0.7743055555555556</x:v>
      </x:c>
      <x:c r="D39" s="2" t="n">
        <x:v>3</x:v>
      </x:c>
      <x:c r="E39" s="10" t="n">
        <x:v>20000</x:v>
      </x:c>
      <x:c r="F39" s="20" t="str">
        <x:v>Simulado</x:v>
      </x:c>
      <x:c r="G39" s="11" t="n">
        <x:f>DATE(YEAR(B39),MONTH(B39),1)</x:f>
        <x:v>46023</x:v>
      </x:c>
      <x:c r="H39" s="2" t="n">
        <x:f>WEEKDAY(B39,2)</x:f>
        <x:v>3</x:v>
      </x:c>
      <x:c r="I39" s="2" t="n">
        <x:f>IF(COUNTIFS($B$7:B39,B39)=1,1,0)</x:f>
        <x:v>1</x:v>
      </x:c>
      <x:c r="J39" s="2" t="n">
        <x:f>IF(COUNTIFS('Detalle'!$A$7:$A$923,A39,'Detalle'!$B$7:$B$923,"Gaseosas")&gt;0,1,0)</x:f>
        <x:v>1</x:v>
      </x:c>
    </x:row>
    <x:row r="40" ht="23" customHeight="1">
      <x:c r="A40" s="2" t="str">
        <x:v>SIM-202601-034</x:v>
      </x:c>
      <x:c r="B40" s="8" t="n">
        <x:v>46052</x:v>
      </x:c>
      <x:c r="C40" s="9" t="n">
        <x:v>0.7486111111111111</x:v>
      </x:c>
      <x:c r="D40" s="2" t="n">
        <x:v>4</x:v>
      </x:c>
      <x:c r="E40" s="10" t="n">
        <x:v>20000</x:v>
      </x:c>
      <x:c r="F40" s="20" t="str">
        <x:v>Simulado</x:v>
      </x:c>
      <x:c r="G40" s="11" t="n">
        <x:f>DATE(YEAR(B40),MONTH(B40),1)</x:f>
        <x:v>46023</x:v>
      </x:c>
      <x:c r="H40" s="2" t="n">
        <x:f>WEEKDAY(B40,2)</x:f>
        <x:v>5</x:v>
      </x:c>
      <x:c r="I40" s="2" t="n">
        <x:f>IF(COUNTIFS($B$7:B40,B40)=1,1,0)</x:f>
        <x:v>1</x:v>
      </x:c>
      <x:c r="J40" s="2" t="n">
        <x:f>IF(COUNTIFS('Detalle'!$A$7:$A$923,A40,'Detalle'!$B$7:$B$923,"Gaseosas")&gt;0,1,0)</x:f>
        <x:v>1</x:v>
      </x:c>
    </x:row>
    <x:row r="41" ht="23" customHeight="1">
      <x:c r="A41" s="2" t="str">
        <x:v>SIM-202601-035</x:v>
      </x:c>
      <x:c r="B41" s="8" t="n">
        <x:v>46052</x:v>
      </x:c>
      <x:c r="C41" s="9" t="n">
        <x:v>0.7972222222222223</x:v>
      </x:c>
      <x:c r="D41" s="2" t="n">
        <x:v>3</x:v>
      </x:c>
      <x:c r="E41" s="10" t="n">
        <x:v>20000</x:v>
      </x:c>
      <x:c r="F41" s="20" t="str">
        <x:v>Simulado</x:v>
      </x:c>
      <x:c r="G41" s="11" t="n">
        <x:f>DATE(YEAR(B41),MONTH(B41),1)</x:f>
        <x:v>46023</x:v>
      </x:c>
      <x:c r="H41" s="2" t="n">
        <x:f>WEEKDAY(B41,2)</x:f>
        <x:v>5</x:v>
      </x:c>
      <x:c r="I41" s="2" t="n">
        <x:f>IF(COUNTIFS($B$7:B41,B41)=1,1,0)</x:f>
        <x:v>0</x:v>
      </x:c>
      <x:c r="J41" s="2" t="n">
        <x:f>IF(COUNTIFS('Detalle'!$A$7:$A$923,A41,'Detalle'!$B$7:$B$923,"Gaseosas")&gt;0,1,0)</x:f>
        <x:v>0</x:v>
      </x:c>
    </x:row>
    <x:row r="42" ht="23" customHeight="1">
      <x:c r="A42" s="2" t="str">
        <x:v>SIM-202601-036</x:v>
      </x:c>
      <x:c r="B42" s="8" t="n">
        <x:v>46052</x:v>
      </x:c>
      <x:c r="C42" s="9" t="n">
        <x:v>0.8756944444444444</x:v>
      </x:c>
      <x:c r="D42" s="2" t="n">
        <x:v>1</x:v>
      </x:c>
      <x:c r="E42" s="10" t="n">
        <x:v>45000</x:v>
      </x:c>
      <x:c r="F42" s="20" t="str">
        <x:v>Simulado</x:v>
      </x:c>
      <x:c r="G42" s="11" t="n">
        <x:f>DATE(YEAR(B42),MONTH(B42),1)</x:f>
        <x:v>46023</x:v>
      </x:c>
      <x:c r="H42" s="2" t="n">
        <x:f>WEEKDAY(B42,2)</x:f>
        <x:v>5</x:v>
      </x:c>
      <x:c r="I42" s="2" t="n">
        <x:f>IF(COUNTIFS($B$7:B42,B42)=1,1,0)</x:f>
        <x:v>0</x:v>
      </x:c>
      <x:c r="J42" s="2" t="n">
        <x:f>IF(COUNTIFS('Detalle'!$A$7:$A$923,A42,'Detalle'!$B$7:$B$923,"Gaseosas")&gt;0,1,0)</x:f>
        <x:v>1</x:v>
      </x:c>
    </x:row>
    <x:row r="43" ht="23" customHeight="1">
      <x:c r="A43" s="2" t="str">
        <x:v>SIM-202602-001</x:v>
      </x:c>
      <x:c r="B43" s="8" t="n">
        <x:v>46054</x:v>
      </x:c>
      <x:c r="C43" s="9" t="n">
        <x:v>0.7513888888888889</x:v>
      </x:c>
      <x:c r="D43" s="2" t="n">
        <x:v>3</x:v>
      </x:c>
      <x:c r="E43" s="10" t="n">
        <x:v>18000</x:v>
      </x:c>
      <x:c r="F43" s="20" t="str">
        <x:v>Simulado</x:v>
      </x:c>
      <x:c r="G43" s="11" t="n">
        <x:f>DATE(YEAR(B43),MONTH(B43),1)</x:f>
        <x:v>46054</x:v>
      </x:c>
      <x:c r="H43" s="2" t="n">
        <x:f>WEEKDAY(B43,2)</x:f>
        <x:v>7</x:v>
      </x:c>
      <x:c r="I43" s="2" t="n">
        <x:f>IF(COUNTIFS($B$7:B43,B43)=1,1,0)</x:f>
        <x:v>1</x:v>
      </x:c>
      <x:c r="J43" s="2" t="n">
        <x:f>IF(COUNTIFS('Detalle'!$A$7:$A$923,A43,'Detalle'!$B$7:$B$923,"Gaseosas")&gt;0,1,0)</x:f>
        <x:v>1</x:v>
      </x:c>
    </x:row>
    <x:row r="44" ht="23" customHeight="1">
      <x:c r="A44" s="2" t="str">
        <x:v>SIM-202602-002</x:v>
      </x:c>
      <x:c r="B44" s="8" t="n">
        <x:v>46054</x:v>
      </x:c>
      <x:c r="C44" s="9" t="n">
        <x:v>0.8472222222222222</x:v>
      </x:c>
      <x:c r="D44" s="2" t="n">
        <x:v>3</x:v>
      </x:c>
      <x:c r="E44" s="10" t="n">
        <x:v>17000</x:v>
      </x:c>
      <x:c r="F44" s="20" t="str">
        <x:v>Simulado</x:v>
      </x:c>
      <x:c r="G44" s="11" t="n">
        <x:f>DATE(YEAR(B44),MONTH(B44),1)</x:f>
        <x:v>46054</x:v>
      </x:c>
      <x:c r="H44" s="2" t="n">
        <x:f>WEEKDAY(B44,2)</x:f>
        <x:v>7</x:v>
      </x:c>
      <x:c r="I44" s="2" t="n">
        <x:f>IF(COUNTIFS($B$7:B44,B44)=1,1,0)</x:f>
        <x:v>0</x:v>
      </x:c>
      <x:c r="J44" s="2" t="n">
        <x:f>IF(COUNTIFS('Detalle'!$A$7:$A$923,A44,'Detalle'!$B$7:$B$923,"Gaseosas")&gt;0,1,0)</x:f>
        <x:v>1</x:v>
      </x:c>
    </x:row>
    <x:row r="45" ht="23" customHeight="1">
      <x:c r="A45" s="2" t="str">
        <x:v>SIM-202602-003</x:v>
      </x:c>
      <x:c r="B45" s="8" t="n">
        <x:v>46059</x:v>
      </x:c>
      <x:c r="C45" s="9" t="n">
        <x:v>0.7534722222222222</x:v>
      </x:c>
      <x:c r="D45" s="2" t="n">
        <x:v>2</x:v>
      </x:c>
      <x:c r="E45" s="10" t="n">
        <x:v>55000</x:v>
      </x:c>
      <x:c r="F45" s="20" t="str">
        <x:v>Simulado</x:v>
      </x:c>
      <x:c r="G45" s="11" t="n">
        <x:f>DATE(YEAR(B45),MONTH(B45),1)</x:f>
        <x:v>46054</x:v>
      </x:c>
      <x:c r="H45" s="2" t="n">
        <x:f>WEEKDAY(B45,2)</x:f>
        <x:v>5</x:v>
      </x:c>
      <x:c r="I45" s="2" t="n">
        <x:f>IF(COUNTIFS($B$7:B45,B45)=1,1,0)</x:f>
        <x:v>1</x:v>
      </x:c>
      <x:c r="J45" s="2" t="n">
        <x:f>IF(COUNTIFS('Detalle'!$A$7:$A$923,A45,'Detalle'!$B$7:$B$923,"Gaseosas")&gt;0,1,0)</x:f>
        <x:v>1</x:v>
      </x:c>
    </x:row>
    <x:row r="46" ht="23" customHeight="1">
      <x:c r="A46" s="2" t="str">
        <x:v>SIM-202602-004</x:v>
      </x:c>
      <x:c r="B46" s="8" t="n">
        <x:v>46059</x:v>
      </x:c>
      <x:c r="C46" s="9" t="n">
        <x:v>0.8888888888888888</x:v>
      </x:c>
      <x:c r="D46" s="2" t="n">
        <x:v>2</x:v>
      </x:c>
      <x:c r="E46" s="10" t="n">
        <x:v>35000</x:v>
      </x:c>
      <x:c r="F46" s="20" t="str">
        <x:v>Simulado</x:v>
      </x:c>
      <x:c r="G46" s="11" t="n">
        <x:f>DATE(YEAR(B46),MONTH(B46),1)</x:f>
        <x:v>46054</x:v>
      </x:c>
      <x:c r="H46" s="2" t="n">
        <x:f>WEEKDAY(B46,2)</x:f>
        <x:v>5</x:v>
      </x:c>
      <x:c r="I46" s="2" t="n">
        <x:f>IF(COUNTIFS($B$7:B46,B46)=1,1,0)</x:f>
        <x:v>0</x:v>
      </x:c>
      <x:c r="J46" s="2" t="n">
        <x:f>IF(COUNTIFS('Detalle'!$A$7:$A$923,A46,'Detalle'!$B$7:$B$923,"Gaseosas")&gt;0,1,0)</x:f>
        <x:v>1</x:v>
      </x:c>
    </x:row>
    <x:row r="47" ht="23" customHeight="1">
      <x:c r="A47" s="2" t="str">
        <x:v>SIM-202602-005</x:v>
      </x:c>
      <x:c r="B47" s="8" t="n">
        <x:v>46060</x:v>
      </x:c>
      <x:c r="C47" s="9" t="n">
        <x:v>0.7993055555555556</x:v>
      </x:c>
      <x:c r="D47" s="2" t="n">
        <x:v>1</x:v>
      </x:c>
      <x:c r="E47" s="10" t="n">
        <x:v>77000</x:v>
      </x:c>
      <x:c r="F47" s="20" t="str">
        <x:v>Simulado</x:v>
      </x:c>
      <x:c r="G47" s="11" t="n">
        <x:f>DATE(YEAR(B47),MONTH(B47),1)</x:f>
        <x:v>46054</x:v>
      </x:c>
      <x:c r="H47" s="2" t="n">
        <x:f>WEEKDAY(B47,2)</x:f>
        <x:v>6</x:v>
      </x:c>
      <x:c r="I47" s="2" t="n">
        <x:f>IF(COUNTIFS($B$7:B47,B47)=1,1,0)</x:f>
        <x:v>1</x:v>
      </x:c>
      <x:c r="J47" s="2" t="n">
        <x:f>IF(COUNTIFS('Detalle'!$A$7:$A$923,A47,'Detalle'!$B$7:$B$923,"Gaseosas")&gt;0,1,0)</x:f>
        <x:v>1</x:v>
      </x:c>
    </x:row>
    <x:row r="48" ht="23" customHeight="1">
      <x:c r="A48" s="2" t="str">
        <x:v>SIM-202602-006</x:v>
      </x:c>
      <x:c r="B48" s="8" t="n">
        <x:v>46060</x:v>
      </x:c>
      <x:c r="C48" s="9" t="n">
        <x:v>0.8243055555555555</x:v>
      </x:c>
      <x:c r="D48" s="2" t="n">
        <x:v>3</x:v>
      </x:c>
      <x:c r="E48" s="10" t="n">
        <x:v>35000</x:v>
      </x:c>
      <x:c r="F48" s="20" t="str">
        <x:v>Simulado</x:v>
      </x:c>
      <x:c r="G48" s="11" t="n">
        <x:f>DATE(YEAR(B48),MONTH(B48),1)</x:f>
        <x:v>46054</x:v>
      </x:c>
      <x:c r="H48" s="2" t="n">
        <x:f>WEEKDAY(B48,2)</x:f>
        <x:v>6</x:v>
      </x:c>
      <x:c r="I48" s="2" t="n">
        <x:f>IF(COUNTIFS($B$7:B48,B48)=1,1,0)</x:f>
        <x:v>0</x:v>
      </x:c>
      <x:c r="J48" s="2" t="n">
        <x:f>IF(COUNTIFS('Detalle'!$A$7:$A$923,A48,'Detalle'!$B$7:$B$923,"Gaseosas")&gt;0,1,0)</x:f>
        <x:v>1</x:v>
      </x:c>
    </x:row>
    <x:row r="49" ht="23" customHeight="1">
      <x:c r="A49" s="2" t="str">
        <x:v>SIM-202602-007</x:v>
      </x:c>
      <x:c r="B49" s="8" t="n">
        <x:v>46060</x:v>
      </x:c>
      <x:c r="C49" s="9" t="n">
        <x:v>0.8319444444444445</x:v>
      </x:c>
      <x:c r="D49" s="2" t="n">
        <x:v>4</x:v>
      </x:c>
      <x:c r="E49" s="10" t="n">
        <x:v>38000</x:v>
      </x:c>
      <x:c r="F49" s="20" t="str">
        <x:v>Simulado</x:v>
      </x:c>
      <x:c r="G49" s="11" t="n">
        <x:f>DATE(YEAR(B49),MONTH(B49),1)</x:f>
        <x:v>46054</x:v>
      </x:c>
      <x:c r="H49" s="2" t="n">
        <x:f>WEEKDAY(B49,2)</x:f>
        <x:v>6</x:v>
      </x:c>
      <x:c r="I49" s="2" t="n">
        <x:f>IF(COUNTIFS($B$7:B49,B49)=1,1,0)</x:f>
        <x:v>0</x:v>
      </x:c>
      <x:c r="J49" s="2" t="n">
        <x:f>IF(COUNTIFS('Detalle'!$A$7:$A$923,A49,'Detalle'!$B$7:$B$923,"Gaseosas")&gt;0,1,0)</x:f>
        <x:v>1</x:v>
      </x:c>
    </x:row>
    <x:row r="50" ht="23" customHeight="1">
      <x:c r="A50" s="2" t="str">
        <x:v>SIM-202602-008</x:v>
      </x:c>
      <x:c r="B50" s="8" t="n">
        <x:v>46061</x:v>
      </x:c>
      <x:c r="C50" s="9" t="n">
        <x:v>0.7847222222222222</x:v>
      </x:c>
      <x:c r="D50" s="2" t="n">
        <x:v>4</x:v>
      </x:c>
      <x:c r="E50" s="10" t="n">
        <x:v>77000</x:v>
      </x:c>
      <x:c r="F50" s="20" t="str">
        <x:v>Simulado</x:v>
      </x:c>
      <x:c r="G50" s="11" t="n">
        <x:f>DATE(YEAR(B50),MONTH(B50),1)</x:f>
        <x:v>46054</x:v>
      </x:c>
      <x:c r="H50" s="2" t="n">
        <x:f>WEEKDAY(B50,2)</x:f>
        <x:v>7</x:v>
      </x:c>
      <x:c r="I50" s="2" t="n">
        <x:f>IF(COUNTIFS($B$7:B50,B50)=1,1,0)</x:f>
        <x:v>1</x:v>
      </x:c>
      <x:c r="J50" s="2" t="n">
        <x:f>IF(COUNTIFS('Detalle'!$A$7:$A$923,A50,'Detalle'!$B$7:$B$923,"Gaseosas")&gt;0,1,0)</x:f>
        <x:v>1</x:v>
      </x:c>
    </x:row>
    <x:row r="51" ht="23" customHeight="1">
      <x:c r="A51" s="2" t="str">
        <x:v>SIM-202602-009</x:v>
      </x:c>
      <x:c r="B51" s="8" t="n">
        <x:v>46064</x:v>
      </x:c>
      <x:c r="C51" s="9" t="n">
        <x:v>0.8555555555555555</x:v>
      </x:c>
      <x:c r="D51" s="2" t="n">
        <x:v>1</x:v>
      </x:c>
      <x:c r="E51" s="10" t="n">
        <x:v>34000</x:v>
      </x:c>
      <x:c r="F51" s="20" t="str">
        <x:v>Simulado</x:v>
      </x:c>
      <x:c r="G51" s="11" t="n">
        <x:f>DATE(YEAR(B51),MONTH(B51),1)</x:f>
        <x:v>46054</x:v>
      </x:c>
      <x:c r="H51" s="2" t="n">
        <x:f>WEEKDAY(B51,2)</x:f>
        <x:v>3</x:v>
      </x:c>
      <x:c r="I51" s="2" t="n">
        <x:f>IF(COUNTIFS($B$7:B51,B51)=1,1,0)</x:f>
        <x:v>1</x:v>
      </x:c>
      <x:c r="J51" s="2" t="n">
        <x:f>IF(COUNTIFS('Detalle'!$A$7:$A$923,A51,'Detalle'!$B$7:$B$923,"Gaseosas")&gt;0,1,0)</x:f>
        <x:v>1</x:v>
      </x:c>
    </x:row>
    <x:row r="52" ht="23" customHeight="1">
      <x:c r="A52" s="2" t="str">
        <x:v>SIM-202602-010</x:v>
      </x:c>
      <x:c r="B52" s="8" t="n">
        <x:v>46065</x:v>
      </x:c>
      <x:c r="C52" s="9" t="n">
        <x:v>0.7201388888888889</x:v>
      </x:c>
      <x:c r="D52" s="2" t="n">
        <x:v>3</x:v>
      </x:c>
      <x:c r="E52" s="10" t="n">
        <x:v>20000</x:v>
      </x:c>
      <x:c r="F52" s="20" t="str">
        <x:v>Simulado</x:v>
      </x:c>
      <x:c r="G52" s="11" t="n">
        <x:f>DATE(YEAR(B52),MONTH(B52),1)</x:f>
        <x:v>46054</x:v>
      </x:c>
      <x:c r="H52" s="2" t="n">
        <x:f>WEEKDAY(B52,2)</x:f>
        <x:v>4</x:v>
      </x:c>
      <x:c r="I52" s="2" t="n">
        <x:f>IF(COUNTIFS($B$7:B52,B52)=1,1,0)</x:f>
        <x:v>1</x:v>
      </x:c>
      <x:c r="J52" s="2" t="n">
        <x:f>IF(COUNTIFS('Detalle'!$A$7:$A$923,A52,'Detalle'!$B$7:$B$923,"Gaseosas")&gt;0,1,0)</x:f>
        <x:v>1</x:v>
      </x:c>
    </x:row>
    <x:row r="53" ht="23" customHeight="1">
      <x:c r="A53" s="2" t="str">
        <x:v>SIM-202602-011</x:v>
      </x:c>
      <x:c r="B53" s="8" t="n">
        <x:v>46065</x:v>
      </x:c>
      <x:c r="C53" s="9" t="n">
        <x:v>0.7881944444444444</x:v>
      </x:c>
      <x:c r="D53" s="2" t="n">
        <x:v>2</x:v>
      </x:c>
      <x:c r="E53" s="10" t="n">
        <x:v>43000</x:v>
      </x:c>
      <x:c r="F53" s="20" t="str">
        <x:v>Simulado</x:v>
      </x:c>
      <x:c r="G53" s="11" t="n">
        <x:f>DATE(YEAR(B53),MONTH(B53),1)</x:f>
        <x:v>46054</x:v>
      </x:c>
      <x:c r="H53" s="2" t="n">
        <x:f>WEEKDAY(B53,2)</x:f>
        <x:v>4</x:v>
      </x:c>
      <x:c r="I53" s="2" t="n">
        <x:f>IF(COUNTIFS($B$7:B53,B53)=1,1,0)</x:f>
        <x:v>0</x:v>
      </x:c>
      <x:c r="J53" s="2" t="n">
        <x:f>IF(COUNTIFS('Detalle'!$A$7:$A$923,A53,'Detalle'!$B$7:$B$923,"Gaseosas")&gt;0,1,0)</x:f>
        <x:v>1</x:v>
      </x:c>
    </x:row>
    <x:row r="54" ht="23" customHeight="1">
      <x:c r="A54" s="2" t="str">
        <x:v>SIM-202602-012</x:v>
      </x:c>
      <x:c r="B54" s="8" t="n">
        <x:v>46066</x:v>
      </x:c>
      <x:c r="C54" s="9" t="n">
        <x:v>0.7902777777777777</x:v>
      </x:c>
      <x:c r="D54" s="2" t="n">
        <x:v>2</x:v>
      </x:c>
      <x:c r="E54" s="10" t="n">
        <x:v>40000</x:v>
      </x:c>
      <x:c r="F54" s="20" t="str">
        <x:v>Simulado</x:v>
      </x:c>
      <x:c r="G54" s="11" t="n">
        <x:f>DATE(YEAR(B54),MONTH(B54),1)</x:f>
        <x:v>46054</x:v>
      </x:c>
      <x:c r="H54" s="2" t="n">
        <x:f>WEEKDAY(B54,2)</x:f>
        <x:v>5</x:v>
      </x:c>
      <x:c r="I54" s="2" t="n">
        <x:f>IF(COUNTIFS($B$7:B54,B54)=1,1,0)</x:f>
        <x:v>1</x:v>
      </x:c>
      <x:c r="J54" s="2" t="n">
        <x:f>IF(COUNTIFS('Detalle'!$A$7:$A$923,A54,'Detalle'!$B$7:$B$923,"Gaseosas")&gt;0,1,0)</x:f>
        <x:v>1</x:v>
      </x:c>
    </x:row>
    <x:row r="55" ht="23" customHeight="1">
      <x:c r="A55" s="2" t="str">
        <x:v>SIM-202602-013</x:v>
      </x:c>
      <x:c r="B55" s="8" t="n">
        <x:v>46067</x:v>
      </x:c>
      <x:c r="C55" s="9" t="n">
        <x:v>0.7631944444444444</x:v>
      </x:c>
      <x:c r="D55" s="2" t="n">
        <x:v>1</x:v>
      </x:c>
      <x:c r="E55" s="10" t="n">
        <x:v>37000</x:v>
      </x:c>
      <x:c r="F55" s="20" t="str">
        <x:v>Simulado</x:v>
      </x:c>
      <x:c r="G55" s="11" t="n">
        <x:f>DATE(YEAR(B55),MONTH(B55),1)</x:f>
        <x:v>46054</x:v>
      </x:c>
      <x:c r="H55" s="2" t="n">
        <x:f>WEEKDAY(B55,2)</x:f>
        <x:v>6</x:v>
      </x:c>
      <x:c r="I55" s="2" t="n">
        <x:f>IF(COUNTIFS($B$7:B55,B55)=1,1,0)</x:f>
        <x:v>1</x:v>
      </x:c>
      <x:c r="J55" s="2" t="n">
        <x:f>IF(COUNTIFS('Detalle'!$A$7:$A$923,A55,'Detalle'!$B$7:$B$923,"Gaseosas")&gt;0,1,0)</x:f>
        <x:v>1</x:v>
      </x:c>
    </x:row>
    <x:row r="56" ht="23" customHeight="1">
      <x:c r="A56" s="2" t="str">
        <x:v>SIM-202602-014</x:v>
      </x:c>
      <x:c r="B56" s="8" t="n">
        <x:v>46067</x:v>
      </x:c>
      <x:c r="C56" s="9" t="n">
        <x:v>0.8034722222222223</x:v>
      </x:c>
      <x:c r="D56" s="2" t="n">
        <x:v>1</x:v>
      </x:c>
      <x:c r="E56" s="10" t="n">
        <x:v>55000</x:v>
      </x:c>
      <x:c r="F56" s="20" t="str">
        <x:v>Simulado</x:v>
      </x:c>
      <x:c r="G56" s="11" t="n">
        <x:f>DATE(YEAR(B56),MONTH(B56),1)</x:f>
        <x:v>46054</x:v>
      </x:c>
      <x:c r="H56" s="2" t="n">
        <x:f>WEEKDAY(B56,2)</x:f>
        <x:v>6</x:v>
      </x:c>
      <x:c r="I56" s="2" t="n">
        <x:f>IF(COUNTIFS($B$7:B56,B56)=1,1,0)</x:f>
        <x:v>0</x:v>
      </x:c>
      <x:c r="J56" s="2" t="n">
        <x:f>IF(COUNTIFS('Detalle'!$A$7:$A$923,A56,'Detalle'!$B$7:$B$923,"Gaseosas")&gt;0,1,0)</x:f>
        <x:v>1</x:v>
      </x:c>
    </x:row>
    <x:row r="57" ht="23" customHeight="1">
      <x:c r="A57" s="2" t="str">
        <x:v>SIM-202602-015</x:v>
      </x:c>
      <x:c r="B57" s="8" t="n">
        <x:v>46068</x:v>
      </x:c>
      <x:c r="C57" s="9" t="n">
        <x:v>0.7229166666666667</x:v>
      </x:c>
      <x:c r="D57" s="2" t="n">
        <x:v>4</x:v>
      </x:c>
      <x:c r="E57" s="10" t="n">
        <x:v>56000</x:v>
      </x:c>
      <x:c r="F57" s="20" t="str">
        <x:v>Simulado</x:v>
      </x:c>
      <x:c r="G57" s="11" t="n">
        <x:f>DATE(YEAR(B57),MONTH(B57),1)</x:f>
        <x:v>46054</x:v>
      </x:c>
      <x:c r="H57" s="2" t="n">
        <x:f>WEEKDAY(B57,2)</x:f>
        <x:v>7</x:v>
      </x:c>
      <x:c r="I57" s="2" t="n">
        <x:f>IF(COUNTIFS($B$7:B57,B57)=1,1,0)</x:f>
        <x:v>1</x:v>
      </x:c>
      <x:c r="J57" s="2" t="n">
        <x:f>IF(COUNTIFS('Detalle'!$A$7:$A$923,A57,'Detalle'!$B$7:$B$923,"Gaseosas")&gt;0,1,0)</x:f>
        <x:v>1</x:v>
      </x:c>
    </x:row>
    <x:row r="58" ht="23" customHeight="1">
      <x:c r="A58" s="2" t="str">
        <x:v>SIM-202602-016</x:v>
      </x:c>
      <x:c r="B58" s="8" t="n">
        <x:v>46068</x:v>
      </x:c>
      <x:c r="C58" s="9" t="n">
        <x:v>0.7548611111111111</x:v>
      </x:c>
      <x:c r="D58" s="2" t="n">
        <x:v>2</x:v>
      </x:c>
      <x:c r="E58" s="10" t="n">
        <x:v>35000</x:v>
      </x:c>
      <x:c r="F58" s="20" t="str">
        <x:v>Simulado</x:v>
      </x:c>
      <x:c r="G58" s="11" t="n">
        <x:f>DATE(YEAR(B58),MONTH(B58),1)</x:f>
        <x:v>46054</x:v>
      </x:c>
      <x:c r="H58" s="2" t="n">
        <x:f>WEEKDAY(B58,2)</x:f>
        <x:v>7</x:v>
      </x:c>
      <x:c r="I58" s="2" t="n">
        <x:f>IF(COUNTIFS($B$7:B58,B58)=1,1,0)</x:f>
        <x:v>0</x:v>
      </x:c>
      <x:c r="J58" s="2" t="n">
        <x:f>IF(COUNTIFS('Detalle'!$A$7:$A$923,A58,'Detalle'!$B$7:$B$923,"Gaseosas")&gt;0,1,0)</x:f>
        <x:v>1</x:v>
      </x:c>
    </x:row>
    <x:row r="59" ht="23" customHeight="1">
      <x:c r="A59" s="2" t="str">
        <x:v>SIM-202602-017</x:v>
      </x:c>
      <x:c r="B59" s="8" t="n">
        <x:v>46068</x:v>
      </x:c>
      <x:c r="C59" s="9" t="n">
        <x:v>0.7930555555555555</x:v>
      </x:c>
      <x:c r="D59" s="2" t="n">
        <x:v>3</x:v>
      </x:c>
      <x:c r="E59" s="10" t="n">
        <x:v>49000</x:v>
      </x:c>
      <x:c r="F59" s="20" t="str">
        <x:v>Simulado</x:v>
      </x:c>
      <x:c r="G59" s="11" t="n">
        <x:f>DATE(YEAR(B59),MONTH(B59),1)</x:f>
        <x:v>46054</x:v>
      </x:c>
      <x:c r="H59" s="2" t="n">
        <x:f>WEEKDAY(B59,2)</x:f>
        <x:v>7</x:v>
      </x:c>
      <x:c r="I59" s="2" t="n">
        <x:f>IF(COUNTIFS($B$7:B59,B59)=1,1,0)</x:f>
        <x:v>0</x:v>
      </x:c>
      <x:c r="J59" s="2" t="n">
        <x:f>IF(COUNTIFS('Detalle'!$A$7:$A$923,A59,'Detalle'!$B$7:$B$923,"Gaseosas")&gt;0,1,0)</x:f>
        <x:v>1</x:v>
      </x:c>
    </x:row>
    <x:row r="60" ht="23" customHeight="1">
      <x:c r="A60" s="2" t="str">
        <x:v>SIM-202602-018</x:v>
      </x:c>
      <x:c r="B60" s="8" t="n">
        <x:v>46070</x:v>
      </x:c>
      <x:c r="C60" s="9" t="n">
        <x:v>0.7833333333333333</x:v>
      </x:c>
      <x:c r="D60" s="2" t="n">
        <x:v>2</x:v>
      </x:c>
      <x:c r="E60" s="10" t="n">
        <x:v>18000</x:v>
      </x:c>
      <x:c r="F60" s="20" t="str">
        <x:v>Simulado</x:v>
      </x:c>
      <x:c r="G60" s="11" t="n">
        <x:f>DATE(YEAR(B60),MONTH(B60),1)</x:f>
        <x:v>46054</x:v>
      </x:c>
      <x:c r="H60" s="2" t="n">
        <x:f>WEEKDAY(B60,2)</x:f>
        <x:v>2</x:v>
      </x:c>
      <x:c r="I60" s="2" t="n">
        <x:f>IF(COUNTIFS($B$7:B60,B60)=1,1,0)</x:f>
        <x:v>1</x:v>
      </x:c>
      <x:c r="J60" s="2" t="n">
        <x:f>IF(COUNTIFS('Detalle'!$A$7:$A$923,A60,'Detalle'!$B$7:$B$923,"Gaseosas")&gt;0,1,0)</x:f>
        <x:v>1</x:v>
      </x:c>
    </x:row>
    <x:row r="61" ht="23" customHeight="1">
      <x:c r="A61" s="2" t="str">
        <x:v>SIM-202602-019</x:v>
      </x:c>
      <x:c r="B61" s="8" t="n">
        <x:v>46070</x:v>
      </x:c>
      <x:c r="C61" s="9" t="n">
        <x:v>0.8083333333333333</x:v>
      </x:c>
      <x:c r="D61" s="2" t="n">
        <x:v>2</x:v>
      </x:c>
      <x:c r="E61" s="10" t="n">
        <x:v>45000</x:v>
      </x:c>
      <x:c r="F61" s="20" t="str">
        <x:v>Simulado</x:v>
      </x:c>
      <x:c r="G61" s="11" t="n">
        <x:f>DATE(YEAR(B61),MONTH(B61),1)</x:f>
        <x:v>46054</x:v>
      </x:c>
      <x:c r="H61" s="2" t="n">
        <x:f>WEEKDAY(B61,2)</x:f>
        <x:v>2</x:v>
      </x:c>
      <x:c r="I61" s="2" t="n">
        <x:f>IF(COUNTIFS($B$7:B61,B61)=1,1,0)</x:f>
        <x:v>0</x:v>
      </x:c>
      <x:c r="J61" s="2" t="n">
        <x:f>IF(COUNTIFS('Detalle'!$A$7:$A$923,A61,'Detalle'!$B$7:$B$923,"Gaseosas")&gt;0,1,0)</x:f>
        <x:v>1</x:v>
      </x:c>
    </x:row>
    <x:row r="62" ht="23" customHeight="1">
      <x:c r="A62" s="2" t="str">
        <x:v>SIM-202602-020</x:v>
      </x:c>
      <x:c r="B62" s="8" t="n">
        <x:v>46072</x:v>
      </x:c>
      <x:c r="C62" s="9" t="n">
        <x:v>0.8208333333333333</x:v>
      </x:c>
      <x:c r="D62" s="2" t="n">
        <x:v>2</x:v>
      </x:c>
      <x:c r="E62" s="10" t="n">
        <x:v>63000</x:v>
      </x:c>
      <x:c r="F62" s="20" t="str">
        <x:v>Simulado</x:v>
      </x:c>
      <x:c r="G62" s="11" t="n">
        <x:f>DATE(YEAR(B62),MONTH(B62),1)</x:f>
        <x:v>46054</x:v>
      </x:c>
      <x:c r="H62" s="2" t="n">
        <x:f>WEEKDAY(B62,2)</x:f>
        <x:v>4</x:v>
      </x:c>
      <x:c r="I62" s="2" t="n">
        <x:f>IF(COUNTIFS($B$7:B62,B62)=1,1,0)</x:f>
        <x:v>1</x:v>
      </x:c>
      <x:c r="J62" s="2" t="n">
        <x:f>IF(COUNTIFS('Detalle'!$A$7:$A$923,A62,'Detalle'!$B$7:$B$923,"Gaseosas")&gt;0,1,0)</x:f>
        <x:v>1</x:v>
      </x:c>
    </x:row>
    <x:row r="63" ht="23" customHeight="1">
      <x:c r="A63" s="2" t="str">
        <x:v>SIM-202602-021</x:v>
      </x:c>
      <x:c r="B63" s="8" t="n">
        <x:v>46072</x:v>
      </x:c>
      <x:c r="C63" s="9" t="n">
        <x:v>0.8708333333333333</x:v>
      </x:c>
      <x:c r="D63" s="2" t="n">
        <x:v>3</x:v>
      </x:c>
      <x:c r="E63" s="10" t="n">
        <x:v>18000</x:v>
      </x:c>
      <x:c r="F63" s="20" t="str">
        <x:v>Simulado</x:v>
      </x:c>
      <x:c r="G63" s="11" t="n">
        <x:f>DATE(YEAR(B63),MONTH(B63),1)</x:f>
        <x:v>46054</x:v>
      </x:c>
      <x:c r="H63" s="2" t="n">
        <x:f>WEEKDAY(B63,2)</x:f>
        <x:v>4</x:v>
      </x:c>
      <x:c r="I63" s="2" t="n">
        <x:f>IF(COUNTIFS($B$7:B63,B63)=1,1,0)</x:f>
        <x:v>0</x:v>
      </x:c>
      <x:c r="J63" s="2" t="n">
        <x:f>IF(COUNTIFS('Detalle'!$A$7:$A$923,A63,'Detalle'!$B$7:$B$923,"Gaseosas")&gt;0,1,0)</x:f>
        <x:v>1</x:v>
      </x:c>
    </x:row>
    <x:row r="64" ht="23" customHeight="1">
      <x:c r="A64" s="2" t="str">
        <x:v>SIM-202602-022</x:v>
      </x:c>
      <x:c r="B64" s="8" t="n">
        <x:v>46074</x:v>
      </x:c>
      <x:c r="C64" s="9" t="n">
        <x:v>0.7930555555555555</x:v>
      </x:c>
      <x:c r="D64" s="2" t="n">
        <x:v>3</x:v>
      </x:c>
      <x:c r="E64" s="10" t="n">
        <x:v>37000</x:v>
      </x:c>
      <x:c r="F64" s="20" t="str">
        <x:v>Simulado</x:v>
      </x:c>
      <x:c r="G64" s="11" t="n">
        <x:f>DATE(YEAR(B64),MONTH(B64),1)</x:f>
        <x:v>46054</x:v>
      </x:c>
      <x:c r="H64" s="2" t="n">
        <x:f>WEEKDAY(B64,2)</x:f>
        <x:v>6</x:v>
      </x:c>
      <x:c r="I64" s="2" t="n">
        <x:f>IF(COUNTIFS($B$7:B64,B64)=1,1,0)</x:f>
        <x:v>1</x:v>
      </x:c>
      <x:c r="J64" s="2" t="n">
        <x:f>IF(COUNTIFS('Detalle'!$A$7:$A$923,A64,'Detalle'!$B$7:$B$923,"Gaseosas")&gt;0,1,0)</x:f>
        <x:v>1</x:v>
      </x:c>
    </x:row>
    <x:row r="65" ht="23" customHeight="1">
      <x:c r="A65" s="2" t="str">
        <x:v>SIM-202602-023</x:v>
      </x:c>
      <x:c r="B65" s="8" t="n">
        <x:v>46074</x:v>
      </x:c>
      <x:c r="C65" s="9" t="n">
        <x:v>0.8715277777777778</x:v>
      </x:c>
      <x:c r="D65" s="2" t="n">
        <x:v>4</x:v>
      </x:c>
      <x:c r="E65" s="10" t="n">
        <x:v>60000</x:v>
      </x:c>
      <x:c r="F65" s="20" t="str">
        <x:v>Simulado</x:v>
      </x:c>
      <x:c r="G65" s="11" t="n">
        <x:f>DATE(YEAR(B65),MONTH(B65),1)</x:f>
        <x:v>46054</x:v>
      </x:c>
      <x:c r="H65" s="2" t="n">
        <x:f>WEEKDAY(B65,2)</x:f>
        <x:v>6</x:v>
      </x:c>
      <x:c r="I65" s="2" t="n">
        <x:f>IF(COUNTIFS($B$7:B65,B65)=1,1,0)</x:f>
        <x:v>0</x:v>
      </x:c>
      <x:c r="J65" s="2" t="n">
        <x:f>IF(COUNTIFS('Detalle'!$A$7:$A$923,A65,'Detalle'!$B$7:$B$923,"Gaseosas")&gt;0,1,0)</x:f>
        <x:v>1</x:v>
      </x:c>
    </x:row>
    <x:row r="66" ht="23" customHeight="1">
      <x:c r="A66" s="2" t="str">
        <x:v>SIM-202602-024</x:v>
      </x:c>
      <x:c r="B66" s="8" t="n">
        <x:v>46075</x:v>
      </x:c>
      <x:c r="C66" s="9" t="n">
        <x:v>0.74375</x:v>
      </x:c>
      <x:c r="D66" s="2" t="n">
        <x:v>3</x:v>
      </x:c>
      <x:c r="E66" s="10" t="n">
        <x:v>20000</x:v>
      </x:c>
      <x:c r="F66" s="20" t="str">
        <x:v>Simulado</x:v>
      </x:c>
      <x:c r="G66" s="11" t="n">
        <x:f>DATE(YEAR(B66),MONTH(B66),1)</x:f>
        <x:v>46054</x:v>
      </x:c>
      <x:c r="H66" s="2" t="n">
        <x:f>WEEKDAY(B66,2)</x:f>
        <x:v>7</x:v>
      </x:c>
      <x:c r="I66" s="2" t="n">
        <x:f>IF(COUNTIFS($B$7:B66,B66)=1,1,0)</x:f>
        <x:v>1</x:v>
      </x:c>
      <x:c r="J66" s="2" t="n">
        <x:f>IF(COUNTIFS('Detalle'!$A$7:$A$923,A66,'Detalle'!$B$7:$B$923,"Gaseosas")&gt;0,1,0)</x:f>
        <x:v>1</x:v>
      </x:c>
    </x:row>
    <x:row r="67" ht="23" customHeight="1">
      <x:c r="A67" s="2" t="str">
        <x:v>SIM-202602-025</x:v>
      </x:c>
      <x:c r="B67" s="8" t="n">
        <x:v>46075</x:v>
      </x:c>
      <x:c r="C67" s="9" t="n">
        <x:v>0.7854166666666667</x:v>
      </x:c>
      <x:c r="D67" s="2" t="n">
        <x:v>4</x:v>
      </x:c>
      <x:c r="E67" s="10" t="n">
        <x:v>20000</x:v>
      </x:c>
      <x:c r="F67" s="20" t="str">
        <x:v>Simulado</x:v>
      </x:c>
      <x:c r="G67" s="11" t="n">
        <x:f>DATE(YEAR(B67),MONTH(B67),1)</x:f>
        <x:v>46054</x:v>
      </x:c>
      <x:c r="H67" s="2" t="n">
        <x:f>WEEKDAY(B67,2)</x:f>
        <x:v>7</x:v>
      </x:c>
      <x:c r="I67" s="2" t="n">
        <x:f>IF(COUNTIFS($B$7:B67,B67)=1,1,0)</x:f>
        <x:v>0</x:v>
      </x:c>
      <x:c r="J67" s="2" t="n">
        <x:f>IF(COUNTIFS('Detalle'!$A$7:$A$923,A67,'Detalle'!$B$7:$B$923,"Gaseosas")&gt;0,1,0)</x:f>
        <x:v>1</x:v>
      </x:c>
    </x:row>
    <x:row r="68" ht="23" customHeight="1">
      <x:c r="A68" s="2" t="str">
        <x:v>SIM-202602-026</x:v>
      </x:c>
      <x:c r="B68" s="8" t="n">
        <x:v>46075</x:v>
      </x:c>
      <x:c r="C68" s="9" t="n">
        <x:v>0.8611111111111112</x:v>
      </x:c>
      <x:c r="D68" s="2" t="n">
        <x:v>4</x:v>
      </x:c>
      <x:c r="E68" s="10" t="n">
        <x:v>27000</x:v>
      </x:c>
      <x:c r="F68" s="20" t="str">
        <x:v>Simulado</x:v>
      </x:c>
      <x:c r="G68" s="11" t="n">
        <x:f>DATE(YEAR(B68),MONTH(B68),1)</x:f>
        <x:v>46054</x:v>
      </x:c>
      <x:c r="H68" s="2" t="n">
        <x:f>WEEKDAY(B68,2)</x:f>
        <x:v>7</x:v>
      </x:c>
      <x:c r="I68" s="2" t="n">
        <x:f>IF(COUNTIFS($B$7:B68,B68)=1,1,0)</x:f>
        <x:v>0</x:v>
      </x:c>
      <x:c r="J68" s="2" t="n">
        <x:f>IF(COUNTIFS('Detalle'!$A$7:$A$923,A68,'Detalle'!$B$7:$B$923,"Gaseosas")&gt;0,1,0)</x:f>
        <x:v>0</x:v>
      </x:c>
    </x:row>
    <x:row r="69" ht="23" customHeight="1">
      <x:c r="A69" s="2" t="str">
        <x:v>SIM-202602-027</x:v>
      </x:c>
      <x:c r="B69" s="8" t="n">
        <x:v>46078</x:v>
      </x:c>
      <x:c r="C69" s="9" t="n">
        <x:v>0.8708333333333333</x:v>
      </x:c>
      <x:c r="D69" s="2" t="n">
        <x:v>4</x:v>
      </x:c>
      <x:c r="E69" s="10" t="n">
        <x:v>56000</x:v>
      </x:c>
      <x:c r="F69" s="20" t="str">
        <x:v>Simulado</x:v>
      </x:c>
      <x:c r="G69" s="11" t="n">
        <x:f>DATE(YEAR(B69),MONTH(B69),1)</x:f>
        <x:v>46054</x:v>
      </x:c>
      <x:c r="H69" s="2" t="n">
        <x:f>WEEKDAY(B69,2)</x:f>
        <x:v>3</x:v>
      </x:c>
      <x:c r="I69" s="2" t="n">
        <x:f>IF(COUNTIFS($B$7:B69,B69)=1,1,0)</x:f>
        <x:v>1</x:v>
      </x:c>
      <x:c r="J69" s="2" t="n">
        <x:f>IF(COUNTIFS('Detalle'!$A$7:$A$923,A69,'Detalle'!$B$7:$B$923,"Gaseosas")&gt;0,1,0)</x:f>
        <x:v>1</x:v>
      </x:c>
    </x:row>
    <x:row r="70" ht="23" customHeight="1">
      <x:c r="A70" s="2" t="str">
        <x:v>SIM-202602-028</x:v>
      </x:c>
      <x:c r="B70" s="8" t="n">
        <x:v>46080</x:v>
      </x:c>
      <x:c r="C70" s="9" t="n">
        <x:v>0.7701388888888889</x:v>
      </x:c>
      <x:c r="D70" s="2" t="n">
        <x:v>2</x:v>
      </x:c>
      <x:c r="E70" s="10" t="n">
        <x:v>43000</x:v>
      </x:c>
      <x:c r="F70" s="20" t="str">
        <x:v>Simulado</x:v>
      </x:c>
      <x:c r="G70" s="11" t="n">
        <x:f>DATE(YEAR(B70),MONTH(B70),1)</x:f>
        <x:v>46054</x:v>
      </x:c>
      <x:c r="H70" s="2" t="n">
        <x:f>WEEKDAY(B70,2)</x:f>
        <x:v>5</x:v>
      </x:c>
      <x:c r="I70" s="2" t="n">
        <x:f>IF(COUNTIFS($B$7:B70,B70)=1,1,0)</x:f>
        <x:v>1</x:v>
      </x:c>
      <x:c r="J70" s="2" t="n">
        <x:f>IF(COUNTIFS('Detalle'!$A$7:$A$923,A70,'Detalle'!$B$7:$B$923,"Gaseosas")&gt;0,1,0)</x:f>
        <x:v>1</x:v>
      </x:c>
    </x:row>
    <x:row r="71" ht="23" customHeight="1">
      <x:c r="A71" s="2" t="str">
        <x:v>SIM-202602-029</x:v>
      </x:c>
      <x:c r="B71" s="8" t="n">
        <x:v>46080</x:v>
      </x:c>
      <x:c r="C71" s="9" t="n">
        <x:v>0.7930555555555555</x:v>
      </x:c>
      <x:c r="D71" s="2" t="n">
        <x:v>3</x:v>
      </x:c>
      <x:c r="E71" s="10" t="n">
        <x:v>50000</x:v>
      </x:c>
      <x:c r="F71" s="20" t="str">
        <x:v>Simulado</x:v>
      </x:c>
      <x:c r="G71" s="11" t="n">
        <x:f>DATE(YEAR(B71),MONTH(B71),1)</x:f>
        <x:v>46054</x:v>
      </x:c>
      <x:c r="H71" s="2" t="n">
        <x:f>WEEKDAY(B71,2)</x:f>
        <x:v>5</x:v>
      </x:c>
      <x:c r="I71" s="2" t="n">
        <x:f>IF(COUNTIFS($B$7:B71,B71)=1,1,0)</x:f>
        <x:v>0</x:v>
      </x:c>
      <x:c r="J71" s="2" t="n">
        <x:f>IF(COUNTIFS('Detalle'!$A$7:$A$923,A71,'Detalle'!$B$7:$B$923,"Gaseosas")&gt;0,1,0)</x:f>
        <x:v>1</x:v>
      </x:c>
    </x:row>
    <x:row r="72" ht="23" customHeight="1">
      <x:c r="A72" s="2" t="str">
        <x:v>SIM-202602-030</x:v>
      </x:c>
      <x:c r="B72" s="8" t="n">
        <x:v>46080</x:v>
      </x:c>
      <x:c r="C72" s="9" t="n">
        <x:v>0.8104166666666667</x:v>
      </x:c>
      <x:c r="D72" s="2" t="n">
        <x:v>3</x:v>
      </x:c>
      <x:c r="E72" s="10" t="n">
        <x:v>25000</x:v>
      </x:c>
      <x:c r="F72" s="20" t="str">
        <x:v>Simulado</x:v>
      </x:c>
      <x:c r="G72" s="11" t="n">
        <x:f>DATE(YEAR(B72),MONTH(B72),1)</x:f>
        <x:v>46054</x:v>
      </x:c>
      <x:c r="H72" s="2" t="n">
        <x:f>WEEKDAY(B72,2)</x:f>
        <x:v>5</x:v>
      </x:c>
      <x:c r="I72" s="2" t="n">
        <x:f>IF(COUNTIFS($B$7:B72,B72)=1,1,0)</x:f>
        <x:v>0</x:v>
      </x:c>
      <x:c r="J72" s="2" t="n">
        <x:f>IF(COUNTIFS('Detalle'!$A$7:$A$923,A72,'Detalle'!$B$7:$B$923,"Gaseosas")&gt;0,1,0)</x:f>
        <x:v>1</x:v>
      </x:c>
    </x:row>
    <x:row r="73" ht="23" customHeight="1">
      <x:c r="A73" s="2" t="str">
        <x:v>SIM-202602-031</x:v>
      </x:c>
      <x:c r="B73" s="8" t="n">
        <x:v>46080</x:v>
      </x:c>
      <x:c r="C73" s="9" t="n">
        <x:v>0.8104166666666667</x:v>
      </x:c>
      <x:c r="D73" s="2" t="n">
        <x:v>4</x:v>
      </x:c>
      <x:c r="E73" s="10" t="n">
        <x:v>50000</x:v>
      </x:c>
      <x:c r="F73" s="20" t="str">
        <x:v>Simulado</x:v>
      </x:c>
      <x:c r="G73" s="11" t="n">
        <x:f>DATE(YEAR(B73),MONTH(B73),1)</x:f>
        <x:v>46054</x:v>
      </x:c>
      <x:c r="H73" s="2" t="n">
        <x:f>WEEKDAY(B73,2)</x:f>
        <x:v>5</x:v>
      </x:c>
      <x:c r="I73" s="2" t="n">
        <x:f>IF(COUNTIFS($B$7:B73,B73)=1,1,0)</x:f>
        <x:v>0</x:v>
      </x:c>
      <x:c r="J73" s="2" t="n">
        <x:f>IF(COUNTIFS('Detalle'!$A$7:$A$923,A73,'Detalle'!$B$7:$B$923,"Gaseosas")&gt;0,1,0)</x:f>
        <x:v>1</x:v>
      </x:c>
    </x:row>
    <x:row r="74" ht="23" customHeight="1">
      <x:c r="A74" s="2" t="str">
        <x:v>SIM-202602-032</x:v>
      </x:c>
      <x:c r="B74" s="8" t="n">
        <x:v>46080</x:v>
      </x:c>
      <x:c r="C74" s="9" t="n">
        <x:v>0.8138888888888889</x:v>
      </x:c>
      <x:c r="D74" s="2" t="n">
        <x:v>4</x:v>
      </x:c>
      <x:c r="E74" s="10" t="n">
        <x:v>31000</x:v>
      </x:c>
      <x:c r="F74" s="20" t="str">
        <x:v>Simulado</x:v>
      </x:c>
      <x:c r="G74" s="11" t="n">
        <x:f>DATE(YEAR(B74),MONTH(B74),1)</x:f>
        <x:v>46054</x:v>
      </x:c>
      <x:c r="H74" s="2" t="n">
        <x:f>WEEKDAY(B74,2)</x:f>
        <x:v>5</x:v>
      </x:c>
      <x:c r="I74" s="2" t="n">
        <x:f>IF(COUNTIFS($B$7:B74,B74)=1,1,0)</x:f>
        <x:v>0</x:v>
      </x:c>
      <x:c r="J74" s="2" t="n">
        <x:f>IF(COUNTIFS('Detalle'!$A$7:$A$923,A74,'Detalle'!$B$7:$B$923,"Gaseosas")&gt;0,1,0)</x:f>
        <x:v>1</x:v>
      </x:c>
    </x:row>
    <x:row r="75" ht="23" customHeight="1">
      <x:c r="A75" s="2" t="str">
        <x:v>SIM-202602-033</x:v>
      </x:c>
      <x:c r="B75" s="8" t="n">
        <x:v>46081</x:v>
      </x:c>
      <x:c r="C75" s="9" t="n">
        <x:v>0.7159722222222222</x:v>
      </x:c>
      <x:c r="D75" s="2" t="n">
        <x:v>3</x:v>
      </x:c>
      <x:c r="E75" s="10" t="n">
        <x:v>38000</x:v>
      </x:c>
      <x:c r="F75" s="20" t="str">
        <x:v>Simulado</x:v>
      </x:c>
      <x:c r="G75" s="11" t="n">
        <x:f>DATE(YEAR(B75),MONTH(B75),1)</x:f>
        <x:v>46054</x:v>
      </x:c>
      <x:c r="H75" s="2" t="n">
        <x:f>WEEKDAY(B75,2)</x:f>
        <x:v>6</x:v>
      </x:c>
      <x:c r="I75" s="2" t="n">
        <x:f>IF(COUNTIFS($B$7:B75,B75)=1,1,0)</x:f>
        <x:v>1</x:v>
      </x:c>
      <x:c r="J75" s="2" t="n">
        <x:f>IF(COUNTIFS('Detalle'!$A$7:$A$923,A75,'Detalle'!$B$7:$B$923,"Gaseosas")&gt;0,1,0)</x:f>
        <x:v>1</x:v>
      </x:c>
    </x:row>
    <x:row r="76" ht="23" customHeight="1">
      <x:c r="A76" s="2" t="str">
        <x:v>SIM-202602-034</x:v>
      </x:c>
      <x:c r="B76" s="8" t="n">
        <x:v>46081</x:v>
      </x:c>
      <x:c r="C76" s="9" t="n">
        <x:v>0.7875</x:v>
      </x:c>
      <x:c r="D76" s="2" t="n">
        <x:v>1</x:v>
      </x:c>
      <x:c r="E76" s="10" t="n">
        <x:v>20000</x:v>
      </x:c>
      <x:c r="F76" s="20" t="str">
        <x:v>Simulado</x:v>
      </x:c>
      <x:c r="G76" s="11" t="n">
        <x:f>DATE(YEAR(B76),MONTH(B76),1)</x:f>
        <x:v>46054</x:v>
      </x:c>
      <x:c r="H76" s="2" t="n">
        <x:f>WEEKDAY(B76,2)</x:f>
        <x:v>6</x:v>
      </x:c>
      <x:c r="I76" s="2" t="n">
        <x:f>IF(COUNTIFS($B$7:B76,B76)=1,1,0)</x:f>
        <x:v>0</x:v>
      </x:c>
      <x:c r="J76" s="2" t="n">
        <x:f>IF(COUNTIFS('Detalle'!$A$7:$A$923,A76,'Detalle'!$B$7:$B$923,"Gaseosas")&gt;0,1,0)</x:f>
        <x:v>1</x:v>
      </x:c>
    </x:row>
    <x:row r="77" ht="23" customHeight="1">
      <x:c r="A77" s="2" t="str">
        <x:v>SIM-202603-001</x:v>
      </x:c>
      <x:c r="B77" s="8" t="n">
        <x:v>46082</x:v>
      </x:c>
      <x:c r="C77" s="9" t="n">
        <x:v>0.7277777777777777</x:v>
      </x:c>
      <x:c r="D77" s="2" t="n">
        <x:v>1</x:v>
      </x:c>
      <x:c r="E77" s="10" t="n">
        <x:v>25000</x:v>
      </x:c>
      <x:c r="F77" s="20" t="str">
        <x:v>Simulado</x:v>
      </x:c>
      <x:c r="G77" s="11" t="n">
        <x:f>DATE(YEAR(B77),MONTH(B77),1)</x:f>
        <x:v>46082</x:v>
      </x:c>
      <x:c r="H77" s="2" t="n">
        <x:f>WEEKDAY(B77,2)</x:f>
        <x:v>7</x:v>
      </x:c>
      <x:c r="I77" s="2" t="n">
        <x:f>IF(COUNTIFS($B$7:B77,B77)=1,1,0)</x:f>
        <x:v>1</x:v>
      </x:c>
      <x:c r="J77" s="2" t="n">
        <x:f>IF(COUNTIFS('Detalle'!$A$7:$A$923,A77,'Detalle'!$B$7:$B$923,"Gaseosas")&gt;0,1,0)</x:f>
        <x:v>1</x:v>
      </x:c>
    </x:row>
    <x:row r="78" ht="23" customHeight="1">
      <x:c r="A78" s="2" t="str">
        <x:v>SIM-202603-002</x:v>
      </x:c>
      <x:c r="B78" s="8" t="n">
        <x:v>46082</x:v>
      </x:c>
      <x:c r="C78" s="9" t="n">
        <x:v>0.7555555555555555</x:v>
      </x:c>
      <x:c r="D78" s="2" t="n">
        <x:v>2</x:v>
      </x:c>
      <x:c r="E78" s="10" t="n">
        <x:v>20000</x:v>
      </x:c>
      <x:c r="F78" s="20" t="str">
        <x:v>Simulado</x:v>
      </x:c>
      <x:c r="G78" s="11" t="n">
        <x:f>DATE(YEAR(B78),MONTH(B78),1)</x:f>
        <x:v>46082</x:v>
      </x:c>
      <x:c r="H78" s="2" t="n">
        <x:f>WEEKDAY(B78,2)</x:f>
        <x:v>7</x:v>
      </x:c>
      <x:c r="I78" s="2" t="n">
        <x:f>IF(COUNTIFS($B$7:B78,B78)=1,1,0)</x:f>
        <x:v>0</x:v>
      </x:c>
      <x:c r="J78" s="2" t="n">
        <x:f>IF(COUNTIFS('Detalle'!$A$7:$A$923,A78,'Detalle'!$B$7:$B$923,"Gaseosas")&gt;0,1,0)</x:f>
        <x:v>1</x:v>
      </x:c>
    </x:row>
    <x:row r="79" ht="23" customHeight="1">
      <x:c r="A79" s="2" t="str">
        <x:v>SIM-202603-003</x:v>
      </x:c>
      <x:c r="B79" s="8" t="n">
        <x:v>46082</x:v>
      </x:c>
      <x:c r="C79" s="9" t="n">
        <x:v>0.7611111111111111</x:v>
      </x:c>
      <x:c r="D79" s="2" t="n">
        <x:v>3</x:v>
      </x:c>
      <x:c r="E79" s="10" t="n">
        <x:v>20000</x:v>
      </x:c>
      <x:c r="F79" s="20" t="str">
        <x:v>Simulado</x:v>
      </x:c>
      <x:c r="G79" s="11" t="n">
        <x:f>DATE(YEAR(B79),MONTH(B79),1)</x:f>
        <x:v>46082</x:v>
      </x:c>
      <x:c r="H79" s="2" t="n">
        <x:f>WEEKDAY(B79,2)</x:f>
        <x:v>7</x:v>
      </x:c>
      <x:c r="I79" s="2" t="n">
        <x:f>IF(COUNTIFS($B$7:B79,B79)=1,1,0)</x:f>
        <x:v>0</x:v>
      </x:c>
      <x:c r="J79" s="2" t="n">
        <x:f>IF(COUNTIFS('Detalle'!$A$7:$A$923,A79,'Detalle'!$B$7:$B$923,"Gaseosas")&gt;0,1,0)</x:f>
        <x:v>1</x:v>
      </x:c>
    </x:row>
    <x:row r="80" ht="23" customHeight="1">
      <x:c r="A80" s="2" t="str">
        <x:v>SIM-202603-004</x:v>
      </x:c>
      <x:c r="B80" s="8" t="n">
        <x:v>46082</x:v>
      </x:c>
      <x:c r="C80" s="9" t="n">
        <x:v>0.8090277777777778</x:v>
      </x:c>
      <x:c r="D80" s="2" t="n">
        <x:v>1</x:v>
      </x:c>
      <x:c r="E80" s="10" t="n">
        <x:v>80000</x:v>
      </x:c>
      <x:c r="F80" s="20" t="str">
        <x:v>Simulado</x:v>
      </x:c>
      <x:c r="G80" s="11" t="n">
        <x:f>DATE(YEAR(B80),MONTH(B80),1)</x:f>
        <x:v>46082</x:v>
      </x:c>
      <x:c r="H80" s="2" t="n">
        <x:f>WEEKDAY(B80,2)</x:f>
        <x:v>7</x:v>
      </x:c>
      <x:c r="I80" s="2" t="n">
        <x:f>IF(COUNTIFS($B$7:B80,B80)=1,1,0)</x:f>
        <x:v>0</x:v>
      </x:c>
      <x:c r="J80" s="2" t="n">
        <x:f>IF(COUNTIFS('Detalle'!$A$7:$A$923,A80,'Detalle'!$B$7:$B$923,"Gaseosas")&gt;0,1,0)</x:f>
        <x:v>1</x:v>
      </x:c>
    </x:row>
    <x:row r="81" ht="23" customHeight="1">
      <x:c r="A81" s="2" t="str">
        <x:v>SIM-202603-005</x:v>
      </x:c>
      <x:c r="B81" s="8" t="n">
        <x:v>46082</x:v>
      </x:c>
      <x:c r="C81" s="9" t="n">
        <x:v>0.8090277777777778</x:v>
      </x:c>
      <x:c r="D81" s="2" t="n">
        <x:v>2</x:v>
      </x:c>
      <x:c r="E81" s="10" t="n">
        <x:v>65000</x:v>
      </x:c>
      <x:c r="F81" s="20" t="str">
        <x:v>Simulado</x:v>
      </x:c>
      <x:c r="G81" s="11" t="n">
        <x:f>DATE(YEAR(B81),MONTH(B81),1)</x:f>
        <x:v>46082</x:v>
      </x:c>
      <x:c r="H81" s="2" t="n">
        <x:f>WEEKDAY(B81,2)</x:f>
        <x:v>7</x:v>
      </x:c>
      <x:c r="I81" s="2" t="n">
        <x:f>IF(COUNTIFS($B$7:B81,B81)=1,1,0)</x:f>
        <x:v>0</x:v>
      </x:c>
      <x:c r="J81" s="2" t="n">
        <x:f>IF(COUNTIFS('Detalle'!$A$7:$A$923,A81,'Detalle'!$B$7:$B$923,"Gaseosas")&gt;0,1,0)</x:f>
        <x:v>1</x:v>
      </x:c>
    </x:row>
    <x:row r="82" ht="23" customHeight="1">
      <x:c r="A82" s="2" t="str">
        <x:v>SIM-202603-006</x:v>
      </x:c>
      <x:c r="B82" s="8" t="n">
        <x:v>46082</x:v>
      </x:c>
      <x:c r="C82" s="9" t="n">
        <x:v>0.8583333333333333</x:v>
      </x:c>
      <x:c r="D82" s="2" t="n">
        <x:v>1</x:v>
      </x:c>
      <x:c r="E82" s="10" t="n">
        <x:v>20000</x:v>
      </x:c>
      <x:c r="F82" s="20" t="str">
        <x:v>Simulado</x:v>
      </x:c>
      <x:c r="G82" s="11" t="n">
        <x:f>DATE(YEAR(B82),MONTH(B82),1)</x:f>
        <x:v>46082</x:v>
      </x:c>
      <x:c r="H82" s="2" t="n">
        <x:f>WEEKDAY(B82,2)</x:f>
        <x:v>7</x:v>
      </x:c>
      <x:c r="I82" s="2" t="n">
        <x:f>IF(COUNTIFS($B$7:B82,B82)=1,1,0)</x:f>
        <x:v>0</x:v>
      </x:c>
      <x:c r="J82" s="2" t="n">
        <x:f>IF(COUNTIFS('Detalle'!$A$7:$A$923,A82,'Detalle'!$B$7:$B$923,"Gaseosas")&gt;0,1,0)</x:f>
        <x:v>1</x:v>
      </x:c>
    </x:row>
    <x:row r="83" ht="23" customHeight="1">
      <x:c r="A83" s="2" t="str">
        <x:v>SIM-202603-007</x:v>
      </x:c>
      <x:c r="B83" s="8" t="n">
        <x:v>46085</x:v>
      </x:c>
      <x:c r="C83" s="9" t="n">
        <x:v>0.8041666666666667</x:v>
      </x:c>
      <x:c r="D83" s="2" t="n">
        <x:v>1</x:v>
      </x:c>
      <x:c r="E83" s="10" t="n">
        <x:v>20000</x:v>
      </x:c>
      <x:c r="F83" s="20" t="str">
        <x:v>Simulado</x:v>
      </x:c>
      <x:c r="G83" s="11" t="n">
        <x:f>DATE(YEAR(B83),MONTH(B83),1)</x:f>
        <x:v>46082</x:v>
      </x:c>
      <x:c r="H83" s="2" t="n">
        <x:f>WEEKDAY(B83,2)</x:f>
        <x:v>3</x:v>
      </x:c>
      <x:c r="I83" s="2" t="n">
        <x:f>IF(COUNTIFS($B$7:B83,B83)=1,1,0)</x:f>
        <x:v>1</x:v>
      </x:c>
      <x:c r="J83" s="2" t="n">
        <x:f>IF(COUNTIFS('Detalle'!$A$7:$A$923,A83,'Detalle'!$B$7:$B$923,"Gaseosas")&gt;0,1,0)</x:f>
        <x:v>1</x:v>
      </x:c>
    </x:row>
    <x:row r="84" ht="23" customHeight="1">
      <x:c r="A84" s="2" t="str">
        <x:v>SIM-202603-008</x:v>
      </x:c>
      <x:c r="B84" s="8" t="n">
        <x:v>46085</x:v>
      </x:c>
      <x:c r="C84" s="9" t="n">
        <x:v>0.8395833333333333</x:v>
      </x:c>
      <x:c r="D84" s="2" t="n">
        <x:v>3</x:v>
      </x:c>
      <x:c r="E84" s="10" t="n">
        <x:v>45000</x:v>
      </x:c>
      <x:c r="F84" s="20" t="str">
        <x:v>Simulado</x:v>
      </x:c>
      <x:c r="G84" s="11" t="n">
        <x:f>DATE(YEAR(B84),MONTH(B84),1)</x:f>
        <x:v>46082</x:v>
      </x:c>
      <x:c r="H84" s="2" t="n">
        <x:f>WEEKDAY(B84,2)</x:f>
        <x:v>3</x:v>
      </x:c>
      <x:c r="I84" s="2" t="n">
        <x:f>IF(COUNTIFS($B$7:B84,B84)=1,1,0)</x:f>
        <x:v>0</x:v>
      </x:c>
      <x:c r="J84" s="2" t="n">
        <x:f>IF(COUNTIFS('Detalle'!$A$7:$A$923,A84,'Detalle'!$B$7:$B$923,"Gaseosas")&gt;0,1,0)</x:f>
        <x:v>1</x:v>
      </x:c>
    </x:row>
    <x:row r="85" ht="23" customHeight="1">
      <x:c r="A85" s="2" t="str">
        <x:v>SIM-202603-009</x:v>
      </x:c>
      <x:c r="B85" s="8" t="n">
        <x:v>46085</x:v>
      </x:c>
      <x:c r="C85" s="9" t="n">
        <x:v>0.8916666666666667</x:v>
      </x:c>
      <x:c r="D85" s="2" t="n">
        <x:v>3</x:v>
      </x:c>
      <x:c r="E85" s="10" t="n">
        <x:v>18000</x:v>
      </x:c>
      <x:c r="F85" s="20" t="str">
        <x:v>Simulado</x:v>
      </x:c>
      <x:c r="G85" s="11" t="n">
        <x:f>DATE(YEAR(B85),MONTH(B85),1)</x:f>
        <x:v>46082</x:v>
      </x:c>
      <x:c r="H85" s="2" t="n">
        <x:f>WEEKDAY(B85,2)</x:f>
        <x:v>3</x:v>
      </x:c>
      <x:c r="I85" s="2" t="n">
        <x:f>IF(COUNTIFS($B$7:B85,B85)=1,1,0)</x:f>
        <x:v>0</x:v>
      </x:c>
      <x:c r="J85" s="2" t="n">
        <x:f>IF(COUNTIFS('Detalle'!$A$7:$A$923,A85,'Detalle'!$B$7:$B$923,"Gaseosas")&gt;0,1,0)</x:f>
        <x:v>1</x:v>
      </x:c>
    </x:row>
    <x:row r="86" ht="23" customHeight="1">
      <x:c r="A86" s="2" t="str">
        <x:v>SIM-202603-010</x:v>
      </x:c>
      <x:c r="B86" s="8" t="n">
        <x:v>46086</x:v>
      </x:c>
      <x:c r="C86" s="9" t="n">
        <x:v>0.8097222222222222</x:v>
      </x:c>
      <x:c r="D86" s="2" t="n">
        <x:v>4</x:v>
      </x:c>
      <x:c r="E86" s="10" t="n">
        <x:v>17000</x:v>
      </x:c>
      <x:c r="F86" s="20" t="str">
        <x:v>Simulado</x:v>
      </x:c>
      <x:c r="G86" s="11" t="n">
        <x:f>DATE(YEAR(B86),MONTH(B86),1)</x:f>
        <x:v>46082</x:v>
      </x:c>
      <x:c r="H86" s="2" t="n">
        <x:f>WEEKDAY(B86,2)</x:f>
        <x:v>4</x:v>
      </x:c>
      <x:c r="I86" s="2" t="n">
        <x:f>IF(COUNTIFS($B$7:B86,B86)=1,1,0)</x:f>
        <x:v>1</x:v>
      </x:c>
      <x:c r="J86" s="2" t="n">
        <x:f>IF(COUNTIFS('Detalle'!$A$7:$A$923,A86,'Detalle'!$B$7:$B$923,"Gaseosas")&gt;0,1,0)</x:f>
        <x:v>1</x:v>
      </x:c>
    </x:row>
    <x:row r="87" ht="23" customHeight="1">
      <x:c r="A87" s="2" t="str">
        <x:v>SIM-202603-011</x:v>
      </x:c>
      <x:c r="B87" s="8" t="n">
        <x:v>46086</x:v>
      </x:c>
      <x:c r="C87" s="9" t="n">
        <x:v>0.8520833333333333</x:v>
      </x:c>
      <x:c r="D87" s="2" t="n">
        <x:v>3</x:v>
      </x:c>
      <x:c r="E87" s="10" t="n">
        <x:v>85000</x:v>
      </x:c>
      <x:c r="F87" s="20" t="str">
        <x:v>Simulado</x:v>
      </x:c>
      <x:c r="G87" s="11" t="n">
        <x:f>DATE(YEAR(B87),MONTH(B87),1)</x:f>
        <x:v>46082</x:v>
      </x:c>
      <x:c r="H87" s="2" t="n">
        <x:f>WEEKDAY(B87,2)</x:f>
        <x:v>4</x:v>
      </x:c>
      <x:c r="I87" s="2" t="n">
        <x:f>IF(COUNTIFS($B$7:B87,B87)=1,1,0)</x:f>
        <x:v>0</x:v>
      </x:c>
      <x:c r="J87" s="2" t="n">
        <x:f>IF(COUNTIFS('Detalle'!$A$7:$A$923,A87,'Detalle'!$B$7:$B$923,"Gaseosas")&gt;0,1,0)</x:f>
        <x:v>1</x:v>
      </x:c>
    </x:row>
    <x:row r="88" ht="23" customHeight="1">
      <x:c r="A88" s="2" t="str">
        <x:v>SIM-202603-012</x:v>
      </x:c>
      <x:c r="B88" s="8" t="n">
        <x:v>46087</x:v>
      </x:c>
      <x:c r="C88" s="9" t="n">
        <x:v>0.7583333333333333</x:v>
      </x:c>
      <x:c r="D88" s="2" t="n">
        <x:v>1</x:v>
      </x:c>
      <x:c r="E88" s="10" t="n">
        <x:v>37000</x:v>
      </x:c>
      <x:c r="F88" s="20" t="str">
        <x:v>Simulado</x:v>
      </x:c>
      <x:c r="G88" s="11" t="n">
        <x:f>DATE(YEAR(B88),MONTH(B88),1)</x:f>
        <x:v>46082</x:v>
      </x:c>
      <x:c r="H88" s="2" t="n">
        <x:f>WEEKDAY(B88,2)</x:f>
        <x:v>5</x:v>
      </x:c>
      <x:c r="I88" s="2" t="n">
        <x:f>IF(COUNTIFS($B$7:B88,B88)=1,1,0)</x:f>
        <x:v>1</x:v>
      </x:c>
      <x:c r="J88" s="2" t="n">
        <x:f>IF(COUNTIFS('Detalle'!$A$7:$A$923,A88,'Detalle'!$B$7:$B$923,"Gaseosas")&gt;0,1,0)</x:f>
        <x:v>1</x:v>
      </x:c>
    </x:row>
    <x:row r="89" ht="23" customHeight="1">
      <x:c r="A89" s="2" t="str">
        <x:v>SIM-202603-013</x:v>
      </x:c>
      <x:c r="B89" s="8" t="n">
        <x:v>46087</x:v>
      </x:c>
      <x:c r="C89" s="9" t="n">
        <x:v>0.76875</x:v>
      </x:c>
      <x:c r="D89" s="2" t="n">
        <x:v>2</x:v>
      </x:c>
      <x:c r="E89" s="10" t="n">
        <x:v>20000</x:v>
      </x:c>
      <x:c r="F89" s="20" t="str">
        <x:v>Simulado</x:v>
      </x:c>
      <x:c r="G89" s="11" t="n">
        <x:f>DATE(YEAR(B89),MONTH(B89),1)</x:f>
        <x:v>46082</x:v>
      </x:c>
      <x:c r="H89" s="2" t="n">
        <x:f>WEEKDAY(B89,2)</x:f>
        <x:v>5</x:v>
      </x:c>
      <x:c r="I89" s="2" t="n">
        <x:f>IF(COUNTIFS($B$7:B89,B89)=1,1,0)</x:f>
        <x:v>0</x:v>
      </x:c>
      <x:c r="J89" s="2" t="n">
        <x:f>IF(COUNTIFS('Detalle'!$A$7:$A$923,A89,'Detalle'!$B$7:$B$923,"Gaseosas")&gt;0,1,0)</x:f>
        <x:v>1</x:v>
      </x:c>
    </x:row>
    <x:row r="90" ht="23" customHeight="1">
      <x:c r="A90" s="2" t="str">
        <x:v>SIM-202603-014</x:v>
      </x:c>
      <x:c r="B90" s="8" t="n">
        <x:v>46088</x:v>
      </x:c>
      <x:c r="C90" s="9" t="n">
        <x:v>0.7256944444444444</x:v>
      </x:c>
      <x:c r="D90" s="2" t="n">
        <x:v>4</x:v>
      </x:c>
      <x:c r="E90" s="10" t="n">
        <x:v>15000</x:v>
      </x:c>
      <x:c r="F90" s="20" t="str">
        <x:v>Simulado</x:v>
      </x:c>
      <x:c r="G90" s="11" t="n">
        <x:f>DATE(YEAR(B90),MONTH(B90),1)</x:f>
        <x:v>46082</x:v>
      </x:c>
      <x:c r="H90" s="2" t="n">
        <x:f>WEEKDAY(B90,2)</x:f>
        <x:v>6</x:v>
      </x:c>
      <x:c r="I90" s="2" t="n">
        <x:f>IF(COUNTIFS($B$7:B90,B90)=1,1,0)</x:f>
        <x:v>1</x:v>
      </x:c>
      <x:c r="J90" s="2" t="n">
        <x:f>IF(COUNTIFS('Detalle'!$A$7:$A$923,A90,'Detalle'!$B$7:$B$923,"Gaseosas")&gt;0,1,0)</x:f>
        <x:v>0</x:v>
      </x:c>
    </x:row>
    <x:row r="91" ht="23" customHeight="1">
      <x:c r="A91" s="2" t="str">
        <x:v>SIM-202603-015</x:v>
      </x:c>
      <x:c r="B91" s="8" t="n">
        <x:v>46088</x:v>
      </x:c>
      <x:c r="C91" s="9" t="n">
        <x:v>0.7847222222222222</x:v>
      </x:c>
      <x:c r="D91" s="2" t="n">
        <x:v>1</x:v>
      </x:c>
      <x:c r="E91" s="10" t="n">
        <x:v>25000</x:v>
      </x:c>
      <x:c r="F91" s="20" t="str">
        <x:v>Simulado</x:v>
      </x:c>
      <x:c r="G91" s="11" t="n">
        <x:f>DATE(YEAR(B91),MONTH(B91),1)</x:f>
        <x:v>46082</x:v>
      </x:c>
      <x:c r="H91" s="2" t="n">
        <x:f>WEEKDAY(B91,2)</x:f>
        <x:v>6</x:v>
      </x:c>
      <x:c r="I91" s="2" t="n">
        <x:f>IF(COUNTIFS($B$7:B91,B91)=1,1,0)</x:f>
        <x:v>0</x:v>
      </x:c>
      <x:c r="J91" s="2" t="n">
        <x:f>IF(COUNTIFS('Detalle'!$A$7:$A$923,A91,'Detalle'!$B$7:$B$923,"Gaseosas")&gt;0,1,0)</x:f>
        <x:v>1</x:v>
      </x:c>
    </x:row>
    <x:row r="92" ht="23" customHeight="1">
      <x:c r="A92" s="2" t="str">
        <x:v>SIM-202603-016</x:v>
      </x:c>
      <x:c r="B92" s="8" t="n">
        <x:v>46088</x:v>
      </x:c>
      <x:c r="C92" s="9" t="n">
        <x:v>0.7965277777777777</x:v>
      </x:c>
      <x:c r="D92" s="2" t="n">
        <x:v>3</x:v>
      </x:c>
      <x:c r="E92" s="10" t="n">
        <x:v>17000</x:v>
      </x:c>
      <x:c r="F92" s="20" t="str">
        <x:v>Simulado</x:v>
      </x:c>
      <x:c r="G92" s="11" t="n">
        <x:f>DATE(YEAR(B92),MONTH(B92),1)</x:f>
        <x:v>46082</x:v>
      </x:c>
      <x:c r="H92" s="2" t="n">
        <x:f>WEEKDAY(B92,2)</x:f>
        <x:v>6</x:v>
      </x:c>
      <x:c r="I92" s="2" t="n">
        <x:f>IF(COUNTIFS($B$7:B92,B92)=1,1,0)</x:f>
        <x:v>0</x:v>
      </x:c>
      <x:c r="J92" s="2" t="n">
        <x:f>IF(COUNTIFS('Detalle'!$A$7:$A$923,A92,'Detalle'!$B$7:$B$923,"Gaseosas")&gt;0,1,0)</x:f>
        <x:v>1</x:v>
      </x:c>
    </x:row>
    <x:row r="93" ht="23" customHeight="1">
      <x:c r="A93" s="2" t="str">
        <x:v>SIM-202603-017</x:v>
      </x:c>
      <x:c r="B93" s="8" t="n">
        <x:v>46088</x:v>
      </x:c>
      <x:c r="C93" s="9" t="n">
        <x:v>0.8826388888888889</x:v>
      </x:c>
      <x:c r="D93" s="2" t="n">
        <x:v>2</x:v>
      </x:c>
      <x:c r="E93" s="10" t="n">
        <x:v>70000</x:v>
      </x:c>
      <x:c r="F93" s="20" t="str">
        <x:v>Simulado</x:v>
      </x:c>
      <x:c r="G93" s="11" t="n">
        <x:f>DATE(YEAR(B93),MONTH(B93),1)</x:f>
        <x:v>46082</x:v>
      </x:c>
      <x:c r="H93" s="2" t="n">
        <x:f>WEEKDAY(B93,2)</x:f>
        <x:v>6</x:v>
      </x:c>
      <x:c r="I93" s="2" t="n">
        <x:f>IF(COUNTIFS($B$7:B93,B93)=1,1,0)</x:f>
        <x:v>0</x:v>
      </x:c>
      <x:c r="J93" s="2" t="n">
        <x:f>IF(COUNTIFS('Detalle'!$A$7:$A$923,A93,'Detalle'!$B$7:$B$923,"Gaseosas")&gt;0,1,0)</x:f>
        <x:v>1</x:v>
      </x:c>
    </x:row>
    <x:row r="94" ht="23" customHeight="1">
      <x:c r="A94" s="2" t="str">
        <x:v>SIM-202603-018</x:v>
      </x:c>
      <x:c r="B94" s="8" t="n">
        <x:v>46089</x:v>
      </x:c>
      <x:c r="C94" s="9" t="n">
        <x:v>0.7361111111111112</x:v>
      </x:c>
      <x:c r="D94" s="2" t="n">
        <x:v>3</x:v>
      </x:c>
      <x:c r="E94" s="10" t="n">
        <x:v>45000</x:v>
      </x:c>
      <x:c r="F94" s="20" t="str">
        <x:v>Simulado</x:v>
      </x:c>
      <x:c r="G94" s="11" t="n">
        <x:f>DATE(YEAR(B94),MONTH(B94),1)</x:f>
        <x:v>46082</x:v>
      </x:c>
      <x:c r="H94" s="2" t="n">
        <x:f>WEEKDAY(B94,2)</x:f>
        <x:v>7</x:v>
      </x:c>
      <x:c r="I94" s="2" t="n">
        <x:f>IF(COUNTIFS($B$7:B94,B94)=1,1,0)</x:f>
        <x:v>1</x:v>
      </x:c>
      <x:c r="J94" s="2" t="n">
        <x:f>IF(COUNTIFS('Detalle'!$A$7:$A$923,A94,'Detalle'!$B$7:$B$923,"Gaseosas")&gt;0,1,0)</x:f>
        <x:v>1</x:v>
      </x:c>
    </x:row>
    <x:row r="95" ht="23" customHeight="1">
      <x:c r="A95" s="2" t="str">
        <x:v>SIM-202603-019</x:v>
      </x:c>
      <x:c r="B95" s="8" t="n">
        <x:v>46089</x:v>
      </x:c>
      <x:c r="C95" s="9" t="n">
        <x:v>0.8375</x:v>
      </x:c>
      <x:c r="D95" s="2" t="n">
        <x:v>3</x:v>
      </x:c>
      <x:c r="E95" s="10" t="n">
        <x:v>60000</x:v>
      </x:c>
      <x:c r="F95" s="20" t="str">
        <x:v>Simulado</x:v>
      </x:c>
      <x:c r="G95" s="11" t="n">
        <x:f>DATE(YEAR(B95),MONTH(B95),1)</x:f>
        <x:v>46082</x:v>
      </x:c>
      <x:c r="H95" s="2" t="n">
        <x:f>WEEKDAY(B95,2)</x:f>
        <x:v>7</x:v>
      </x:c>
      <x:c r="I95" s="2" t="n">
        <x:f>IF(COUNTIFS($B$7:B95,B95)=1,1,0)</x:f>
        <x:v>0</x:v>
      </x:c>
      <x:c r="J95" s="2" t="n">
        <x:f>IF(COUNTIFS('Detalle'!$A$7:$A$923,A95,'Detalle'!$B$7:$B$923,"Gaseosas")&gt;0,1,0)</x:f>
        <x:v>1</x:v>
      </x:c>
    </x:row>
    <x:row r="96" ht="23" customHeight="1">
      <x:c r="A96" s="2" t="str">
        <x:v>SIM-202603-020</x:v>
      </x:c>
      <x:c r="B96" s="8" t="n">
        <x:v>46091</x:v>
      </x:c>
      <x:c r="C96" s="9" t="n">
        <x:v>0.7625</x:v>
      </x:c>
      <x:c r="D96" s="2" t="n">
        <x:v>1</x:v>
      </x:c>
      <x:c r="E96" s="10" t="n">
        <x:v>45000</x:v>
      </x:c>
      <x:c r="F96" s="20" t="str">
        <x:v>Simulado</x:v>
      </x:c>
      <x:c r="G96" s="11" t="n">
        <x:f>DATE(YEAR(B96),MONTH(B96),1)</x:f>
        <x:v>46082</x:v>
      </x:c>
      <x:c r="H96" s="2" t="n">
        <x:f>WEEKDAY(B96,2)</x:f>
        <x:v>2</x:v>
      </x:c>
      <x:c r="I96" s="2" t="n">
        <x:f>IF(COUNTIFS($B$7:B96,B96)=1,1,0)</x:f>
        <x:v>1</x:v>
      </x:c>
      <x:c r="J96" s="2" t="n">
        <x:f>IF(COUNTIFS('Detalle'!$A$7:$A$923,A96,'Detalle'!$B$7:$B$923,"Gaseosas")&gt;0,1,0)</x:f>
        <x:v>1</x:v>
      </x:c>
    </x:row>
    <x:row r="97" ht="23" customHeight="1">
      <x:c r="A97" s="2" t="str">
        <x:v>SIM-202603-021</x:v>
      </x:c>
      <x:c r="B97" s="8" t="n">
        <x:v>46092</x:v>
      </x:c>
      <x:c r="C97" s="9" t="n">
        <x:v>0.8326388888888889</x:v>
      </x:c>
      <x:c r="D97" s="2" t="n">
        <x:v>2</x:v>
      </x:c>
      <x:c r="E97" s="10" t="n">
        <x:v>25000</x:v>
      </x:c>
      <x:c r="F97" s="20" t="str">
        <x:v>Simulado</x:v>
      </x:c>
      <x:c r="G97" s="11" t="n">
        <x:f>DATE(YEAR(B97),MONTH(B97),1)</x:f>
        <x:v>46082</x:v>
      </x:c>
      <x:c r="H97" s="2" t="n">
        <x:f>WEEKDAY(B97,2)</x:f>
        <x:v>3</x:v>
      </x:c>
      <x:c r="I97" s="2" t="n">
        <x:f>IF(COUNTIFS($B$7:B97,B97)=1,1,0)</x:f>
        <x:v>1</x:v>
      </x:c>
      <x:c r="J97" s="2" t="n">
        <x:f>IF(COUNTIFS('Detalle'!$A$7:$A$923,A97,'Detalle'!$B$7:$B$923,"Gaseosas")&gt;0,1,0)</x:f>
        <x:v>1</x:v>
      </x:c>
    </x:row>
    <x:row r="98" ht="23" customHeight="1">
      <x:c r="A98" s="2" t="str">
        <x:v>SIM-202603-022</x:v>
      </x:c>
      <x:c r="B98" s="8" t="n">
        <x:v>46093</x:v>
      </x:c>
      <x:c r="C98" s="9" t="n">
        <x:v>0.8013888888888889</x:v>
      </x:c>
      <x:c r="D98" s="2" t="n">
        <x:v>3</x:v>
      </x:c>
      <x:c r="E98" s="10" t="n">
        <x:v>49000</x:v>
      </x:c>
      <x:c r="F98" s="20" t="str">
        <x:v>Simulado</x:v>
      </x:c>
      <x:c r="G98" s="11" t="n">
        <x:f>DATE(YEAR(B98),MONTH(B98),1)</x:f>
        <x:v>46082</x:v>
      </x:c>
      <x:c r="H98" s="2" t="n">
        <x:f>WEEKDAY(B98,2)</x:f>
        <x:v>4</x:v>
      </x:c>
      <x:c r="I98" s="2" t="n">
        <x:f>IF(COUNTIFS($B$7:B98,B98)=1,1,0)</x:f>
        <x:v>1</x:v>
      </x:c>
      <x:c r="J98" s="2" t="n">
        <x:f>IF(COUNTIFS('Detalle'!$A$7:$A$923,A98,'Detalle'!$B$7:$B$923,"Gaseosas")&gt;0,1,0)</x:f>
        <x:v>1</x:v>
      </x:c>
    </x:row>
    <x:row r="99" ht="23" customHeight="1">
      <x:c r="A99" s="2" t="str">
        <x:v>SIM-202603-023</x:v>
      </x:c>
      <x:c r="B99" s="8" t="n">
        <x:v>46094</x:v>
      </x:c>
      <x:c r="C99" s="9" t="n">
        <x:v>0.8020833333333334</x:v>
      </x:c>
      <x:c r="D99" s="2" t="n">
        <x:v>4</x:v>
      </x:c>
      <x:c r="E99" s="10" t="n">
        <x:v>72000</x:v>
      </x:c>
      <x:c r="F99" s="20" t="str">
        <x:v>Simulado</x:v>
      </x:c>
      <x:c r="G99" s="11" t="n">
        <x:f>DATE(YEAR(B99),MONTH(B99),1)</x:f>
        <x:v>46082</x:v>
      </x:c>
      <x:c r="H99" s="2" t="n">
        <x:f>WEEKDAY(B99,2)</x:f>
        <x:v>5</x:v>
      </x:c>
      <x:c r="I99" s="2" t="n">
        <x:f>IF(COUNTIFS($B$7:B99,B99)=1,1,0)</x:f>
        <x:v>1</x:v>
      </x:c>
      <x:c r="J99" s="2" t="n">
        <x:f>IF(COUNTIFS('Detalle'!$A$7:$A$923,A99,'Detalle'!$B$7:$B$923,"Gaseosas")&gt;0,1,0)</x:f>
        <x:v>1</x:v>
      </x:c>
    </x:row>
    <x:row r="100" ht="23" customHeight="1">
      <x:c r="A100" s="2" t="str">
        <x:v>SIM-202603-024</x:v>
      </x:c>
      <x:c r="B100" s="8" t="n">
        <x:v>46094</x:v>
      </x:c>
      <x:c r="C100" s="9" t="n">
        <x:v>0.8604166666666667</x:v>
      </x:c>
      <x:c r="D100" s="2" t="n">
        <x:v>1</x:v>
      </x:c>
      <x:c r="E100" s="10" t="n">
        <x:v>40000</x:v>
      </x:c>
      <x:c r="F100" s="20" t="str">
        <x:v>Simulado</x:v>
      </x:c>
      <x:c r="G100" s="11" t="n">
        <x:f>DATE(YEAR(B100),MONTH(B100),1)</x:f>
        <x:v>46082</x:v>
      </x:c>
      <x:c r="H100" s="2" t="n">
        <x:f>WEEKDAY(B100,2)</x:f>
        <x:v>5</x:v>
      </x:c>
      <x:c r="I100" s="2" t="n">
        <x:f>IF(COUNTIFS($B$7:B100,B100)=1,1,0)</x:f>
        <x:v>0</x:v>
      </x:c>
      <x:c r="J100" s="2" t="n">
        <x:f>IF(COUNTIFS('Detalle'!$A$7:$A$923,A100,'Detalle'!$B$7:$B$923,"Gaseosas")&gt;0,1,0)</x:f>
        <x:v>1</x:v>
      </x:c>
    </x:row>
    <x:row r="101" ht="23" customHeight="1">
      <x:c r="A101" s="2" t="str">
        <x:v>SIM-202603-025</x:v>
      </x:c>
      <x:c r="B101" s="8" t="n">
        <x:v>46095</x:v>
      </x:c>
      <x:c r="C101" s="9" t="n">
        <x:v>0.7256944444444444</x:v>
      </x:c>
      <x:c r="D101" s="2" t="n">
        <x:v>1</x:v>
      </x:c>
      <x:c r="E101" s="10" t="n">
        <x:v>37000</x:v>
      </x:c>
      <x:c r="F101" s="20" t="str">
        <x:v>Simulado</x:v>
      </x:c>
      <x:c r="G101" s="11" t="n">
        <x:f>DATE(YEAR(B101),MONTH(B101),1)</x:f>
        <x:v>46082</x:v>
      </x:c>
      <x:c r="H101" s="2" t="n">
        <x:f>WEEKDAY(B101,2)</x:f>
        <x:v>6</x:v>
      </x:c>
      <x:c r="I101" s="2" t="n">
        <x:f>IF(COUNTIFS($B$7:B101,B101)=1,1,0)</x:f>
        <x:v>1</x:v>
      </x:c>
      <x:c r="J101" s="2" t="n">
        <x:f>IF(COUNTIFS('Detalle'!$A$7:$A$923,A101,'Detalle'!$B$7:$B$923,"Gaseosas")&gt;0,1,0)</x:f>
        <x:v>1</x:v>
      </x:c>
    </x:row>
    <x:row r="102" ht="23" customHeight="1">
      <x:c r="A102" s="2" t="str">
        <x:v>SIM-202603-026</x:v>
      </x:c>
      <x:c r="B102" s="8" t="n">
        <x:v>46095</x:v>
      </x:c>
      <x:c r="C102" s="9" t="n">
        <x:v>0.8465277777777778</x:v>
      </x:c>
      <x:c r="D102" s="2" t="n">
        <x:v>3</x:v>
      </x:c>
      <x:c r="E102" s="10" t="n">
        <x:v>38000</x:v>
      </x:c>
      <x:c r="F102" s="20" t="str">
        <x:v>Simulado</x:v>
      </x:c>
      <x:c r="G102" s="11" t="n">
        <x:f>DATE(YEAR(B102),MONTH(B102),1)</x:f>
        <x:v>46082</x:v>
      </x:c>
      <x:c r="H102" s="2" t="n">
        <x:f>WEEKDAY(B102,2)</x:f>
        <x:v>6</x:v>
      </x:c>
      <x:c r="I102" s="2" t="n">
        <x:f>IF(COUNTIFS($B$7:B102,B102)=1,1,0)</x:f>
        <x:v>0</x:v>
      </x:c>
      <x:c r="J102" s="2" t="n">
        <x:f>IF(COUNTIFS('Detalle'!$A$7:$A$923,A102,'Detalle'!$B$7:$B$923,"Gaseosas")&gt;0,1,0)</x:f>
        <x:v>1</x:v>
      </x:c>
    </x:row>
    <x:row r="103" ht="23" customHeight="1">
      <x:c r="A103" s="2" t="str">
        <x:v>SIM-202603-027</x:v>
      </x:c>
      <x:c r="B103" s="8" t="n">
        <x:v>46095</x:v>
      </x:c>
      <x:c r="C103" s="9" t="n">
        <x:v>0.8923611111111112</x:v>
      </x:c>
      <x:c r="D103" s="2" t="n">
        <x:v>1</x:v>
      </x:c>
      <x:c r="E103" s="10" t="n">
        <x:v>37000</x:v>
      </x:c>
      <x:c r="F103" s="20" t="str">
        <x:v>Simulado</x:v>
      </x:c>
      <x:c r="G103" s="11" t="n">
        <x:f>DATE(YEAR(B103),MONTH(B103),1)</x:f>
        <x:v>46082</x:v>
      </x:c>
      <x:c r="H103" s="2" t="n">
        <x:f>WEEKDAY(B103,2)</x:f>
        <x:v>6</x:v>
      </x:c>
      <x:c r="I103" s="2" t="n">
        <x:f>IF(COUNTIFS($B$7:B103,B103)=1,1,0)</x:f>
        <x:v>0</x:v>
      </x:c>
      <x:c r="J103" s="2" t="n">
        <x:f>IF(COUNTIFS('Detalle'!$A$7:$A$923,A103,'Detalle'!$B$7:$B$923,"Gaseosas")&gt;0,1,0)</x:f>
        <x:v>1</x:v>
      </x:c>
    </x:row>
    <x:row r="104" ht="23" customHeight="1">
      <x:c r="A104" s="2" t="str">
        <x:v>SIM-202603-028</x:v>
      </x:c>
      <x:c r="B104" s="8" t="n">
        <x:v>46096</x:v>
      </x:c>
      <x:c r="C104" s="9" t="n">
        <x:v>0.8201388888888889</x:v>
      </x:c>
      <x:c r="D104" s="2" t="n">
        <x:v>2</x:v>
      </x:c>
      <x:c r="E104" s="10" t="n">
        <x:v>62000</x:v>
      </x:c>
      <x:c r="F104" s="20" t="str">
        <x:v>Simulado</x:v>
      </x:c>
      <x:c r="G104" s="11" t="n">
        <x:f>DATE(YEAR(B104),MONTH(B104),1)</x:f>
        <x:v>46082</x:v>
      </x:c>
      <x:c r="H104" s="2" t="n">
        <x:f>WEEKDAY(B104,2)</x:f>
        <x:v>7</x:v>
      </x:c>
      <x:c r="I104" s="2" t="n">
        <x:f>IF(COUNTIFS($B$7:B104,B104)=1,1,0)</x:f>
        <x:v>1</x:v>
      </x:c>
      <x:c r="J104" s="2" t="n">
        <x:f>IF(COUNTIFS('Detalle'!$A$7:$A$923,A104,'Detalle'!$B$7:$B$923,"Gaseosas")&gt;0,1,0)</x:f>
        <x:v>1</x:v>
      </x:c>
    </x:row>
    <x:row r="105" ht="23" customHeight="1">
      <x:c r="A105" s="2" t="str">
        <x:v>SIM-202603-029</x:v>
      </x:c>
      <x:c r="B105" s="8" t="n">
        <x:v>46100</x:v>
      </x:c>
      <x:c r="C105" s="9" t="n">
        <x:v>0.8555555555555555</x:v>
      </x:c>
      <x:c r="D105" s="2" t="n">
        <x:v>2</x:v>
      </x:c>
      <x:c r="E105" s="10" t="n">
        <x:v>20000</x:v>
      </x:c>
      <x:c r="F105" s="20" t="str">
        <x:v>Simulado</x:v>
      </x:c>
      <x:c r="G105" s="11" t="n">
        <x:f>DATE(YEAR(B105),MONTH(B105),1)</x:f>
        <x:v>46082</x:v>
      </x:c>
      <x:c r="H105" s="2" t="n">
        <x:f>WEEKDAY(B105,2)</x:f>
        <x:v>4</x:v>
      </x:c>
      <x:c r="I105" s="2" t="n">
        <x:f>IF(COUNTIFS($B$7:B105,B105)=1,1,0)</x:f>
        <x:v>1</x:v>
      </x:c>
      <x:c r="J105" s="2" t="n">
        <x:f>IF(COUNTIFS('Detalle'!$A$7:$A$923,A105,'Detalle'!$B$7:$B$923,"Gaseosas")&gt;0,1,0)</x:f>
        <x:v>1</x:v>
      </x:c>
    </x:row>
    <x:row r="106" ht="23" customHeight="1">
      <x:c r="A106" s="2" t="str">
        <x:v>SIM-202603-030</x:v>
      </x:c>
      <x:c r="B106" s="8" t="n">
        <x:v>46101</x:v>
      </x:c>
      <x:c r="C106" s="9" t="n">
        <x:v>0.7680555555555556</x:v>
      </x:c>
      <x:c r="D106" s="2" t="n">
        <x:v>4</x:v>
      </x:c>
      <x:c r="E106" s="10" t="n">
        <x:v>25000</x:v>
      </x:c>
      <x:c r="F106" s="20" t="str">
        <x:v>Simulado</x:v>
      </x:c>
      <x:c r="G106" s="11" t="n">
        <x:f>DATE(YEAR(B106),MONTH(B106),1)</x:f>
        <x:v>46082</x:v>
      </x:c>
      <x:c r="H106" s="2" t="n">
        <x:f>WEEKDAY(B106,2)</x:f>
        <x:v>5</x:v>
      </x:c>
      <x:c r="I106" s="2" t="n">
        <x:f>IF(COUNTIFS($B$7:B106,B106)=1,1,0)</x:f>
        <x:v>1</x:v>
      </x:c>
      <x:c r="J106" s="2" t="n">
        <x:f>IF(COUNTIFS('Detalle'!$A$7:$A$923,A106,'Detalle'!$B$7:$B$923,"Gaseosas")&gt;0,1,0)</x:f>
        <x:v>1</x:v>
      </x:c>
    </x:row>
    <x:row r="107" ht="23" customHeight="1">
      <x:c r="A107" s="2" t="str">
        <x:v>SIM-202603-031</x:v>
      </x:c>
      <x:c r="B107" s="8" t="n">
        <x:v>46101</x:v>
      </x:c>
      <x:c r="C107" s="9" t="n">
        <x:v>0.8111111111111111</x:v>
      </x:c>
      <x:c r="D107" s="2" t="n">
        <x:v>1</x:v>
      </x:c>
      <x:c r="E107" s="10" t="n">
        <x:v>30000</x:v>
      </x:c>
      <x:c r="F107" s="20" t="str">
        <x:v>Simulado</x:v>
      </x:c>
      <x:c r="G107" s="11" t="n">
        <x:f>DATE(YEAR(B107),MONTH(B107),1)</x:f>
        <x:v>46082</x:v>
      </x:c>
      <x:c r="H107" s="2" t="n">
        <x:f>WEEKDAY(B107,2)</x:f>
        <x:v>5</x:v>
      </x:c>
      <x:c r="I107" s="2" t="n">
        <x:f>IF(COUNTIFS($B$7:B107,B107)=1,1,0)</x:f>
        <x:v>0</x:v>
      </x:c>
      <x:c r="J107" s="2" t="n">
        <x:f>IF(COUNTIFS('Detalle'!$A$7:$A$923,A107,'Detalle'!$B$7:$B$923,"Gaseosas")&gt;0,1,0)</x:f>
        <x:v>1</x:v>
      </x:c>
    </x:row>
    <x:row r="108" ht="23" customHeight="1">
      <x:c r="A108" s="2" t="str">
        <x:v>SIM-202603-032</x:v>
      </x:c>
      <x:c r="B108" s="8" t="n">
        <x:v>46101</x:v>
      </x:c>
      <x:c r="C108" s="9" t="n">
        <x:v>0.8305555555555556</x:v>
      </x:c>
      <x:c r="D108" s="2" t="n">
        <x:v>3</x:v>
      </x:c>
      <x:c r="E108" s="10" t="n">
        <x:v>38000</x:v>
      </x:c>
      <x:c r="F108" s="20" t="str">
        <x:v>Simulado</x:v>
      </x:c>
      <x:c r="G108" s="11" t="n">
        <x:f>DATE(YEAR(B108),MONTH(B108),1)</x:f>
        <x:v>46082</x:v>
      </x:c>
      <x:c r="H108" s="2" t="n">
        <x:f>WEEKDAY(B108,2)</x:f>
        <x:v>5</x:v>
      </x:c>
      <x:c r="I108" s="2" t="n">
        <x:f>IF(COUNTIFS($B$7:B108,B108)=1,1,0)</x:f>
        <x:v>0</x:v>
      </x:c>
      <x:c r="J108" s="2" t="n">
        <x:f>IF(COUNTIFS('Detalle'!$A$7:$A$923,A108,'Detalle'!$B$7:$B$923,"Gaseosas")&gt;0,1,0)</x:f>
        <x:v>1</x:v>
      </x:c>
    </x:row>
    <x:row r="109" ht="23" customHeight="1">
      <x:c r="A109" s="2" t="str">
        <x:v>SIM-202603-033</x:v>
      </x:c>
      <x:c r="B109" s="8" t="n">
        <x:v>46101</x:v>
      </x:c>
      <x:c r="C109" s="9" t="n">
        <x:v>0.8305555555555556</x:v>
      </x:c>
      <x:c r="D109" s="2" t="n">
        <x:v>4</x:v>
      </x:c>
      <x:c r="E109" s="10" t="n">
        <x:v>45000</x:v>
      </x:c>
      <x:c r="F109" s="20" t="str">
        <x:v>Simulado</x:v>
      </x:c>
      <x:c r="G109" s="11" t="n">
        <x:f>DATE(YEAR(B109),MONTH(B109),1)</x:f>
        <x:v>46082</x:v>
      </x:c>
      <x:c r="H109" s="2" t="n">
        <x:f>WEEKDAY(B109,2)</x:f>
        <x:v>5</x:v>
      </x:c>
      <x:c r="I109" s="2" t="n">
        <x:f>IF(COUNTIFS($B$7:B109,B109)=1,1,0)</x:f>
        <x:v>0</x:v>
      </x:c>
      <x:c r="J109" s="2" t="n">
        <x:f>IF(COUNTIFS('Detalle'!$A$7:$A$923,A109,'Detalle'!$B$7:$B$923,"Gaseosas")&gt;0,1,0)</x:f>
        <x:v>1</x:v>
      </x:c>
    </x:row>
    <x:row r="110" ht="23" customHeight="1">
      <x:c r="A110" s="2" t="str">
        <x:v>SIM-202603-034</x:v>
      </x:c>
      <x:c r="B110" s="8" t="n">
        <x:v>46102</x:v>
      </x:c>
      <x:c r="C110" s="9" t="n">
        <x:v>0.76875</x:v>
      </x:c>
      <x:c r="D110" s="2" t="n">
        <x:v>2</x:v>
      </x:c>
      <x:c r="E110" s="10" t="n">
        <x:v>31000</x:v>
      </x:c>
      <x:c r="F110" s="20" t="str">
        <x:v>Simulado</x:v>
      </x:c>
      <x:c r="G110" s="11" t="n">
        <x:f>DATE(YEAR(B110),MONTH(B110),1)</x:f>
        <x:v>46082</x:v>
      </x:c>
      <x:c r="H110" s="2" t="n">
        <x:f>WEEKDAY(B110,2)</x:f>
        <x:v>6</x:v>
      </x:c>
      <x:c r="I110" s="2" t="n">
        <x:f>IF(COUNTIFS($B$7:B110,B110)=1,1,0)</x:f>
        <x:v>1</x:v>
      </x:c>
      <x:c r="J110" s="2" t="n">
        <x:f>IF(COUNTIFS('Detalle'!$A$7:$A$923,A110,'Detalle'!$B$7:$B$923,"Gaseosas")&gt;0,1,0)</x:f>
        <x:v>1</x:v>
      </x:c>
    </x:row>
    <x:row r="111" ht="23" customHeight="1">
      <x:c r="A111" s="2" t="str">
        <x:v>SIM-202603-035</x:v>
      </x:c>
      <x:c r="B111" s="8" t="n">
        <x:v>46102</x:v>
      </x:c>
      <x:c r="C111" s="9" t="n">
        <x:v>0.8576388888888888</x:v>
      </x:c>
      <x:c r="D111" s="2" t="n">
        <x:v>2</x:v>
      </x:c>
      <x:c r="E111" s="10" t="n">
        <x:v>77000</x:v>
      </x:c>
      <x:c r="F111" s="20" t="str">
        <x:v>Simulado</x:v>
      </x:c>
      <x:c r="G111" s="11" t="n">
        <x:f>DATE(YEAR(B111),MONTH(B111),1)</x:f>
        <x:v>46082</x:v>
      </x:c>
      <x:c r="H111" s="2" t="n">
        <x:f>WEEKDAY(B111,2)</x:f>
        <x:v>6</x:v>
      </x:c>
      <x:c r="I111" s="2" t="n">
        <x:f>IF(COUNTIFS($B$7:B111,B111)=1,1,0)</x:f>
        <x:v>0</x:v>
      </x:c>
      <x:c r="J111" s="2" t="n">
        <x:f>IF(COUNTIFS('Detalle'!$A$7:$A$923,A111,'Detalle'!$B$7:$B$923,"Gaseosas")&gt;0,1,0)</x:f>
        <x:v>1</x:v>
      </x:c>
    </x:row>
    <x:row r="112" ht="23" customHeight="1">
      <x:c r="A112" s="2" t="str">
        <x:v>SIM-202603-036</x:v>
      </x:c>
      <x:c r="B112" s="8" t="n">
        <x:v>46103</x:v>
      </x:c>
      <x:c r="C112" s="9" t="n">
        <x:v>0.8069444444444445</x:v>
      </x:c>
      <x:c r="D112" s="2" t="n">
        <x:v>2</x:v>
      </x:c>
      <x:c r="E112" s="10" t="n">
        <x:v>13000</x:v>
      </x:c>
      <x:c r="F112" s="20" t="str">
        <x:v>Simulado</x:v>
      </x:c>
      <x:c r="G112" s="11" t="n">
        <x:f>DATE(YEAR(B112),MONTH(B112),1)</x:f>
        <x:v>46082</x:v>
      </x:c>
      <x:c r="H112" s="2" t="n">
        <x:f>WEEKDAY(B112,2)</x:f>
        <x:v>7</x:v>
      </x:c>
      <x:c r="I112" s="2" t="n">
        <x:f>IF(COUNTIFS($B$7:B112,B112)=1,1,0)</x:f>
        <x:v>1</x:v>
      </x:c>
      <x:c r="J112" s="2" t="n">
        <x:f>IF(COUNTIFS('Detalle'!$A$7:$A$923,A112,'Detalle'!$B$7:$B$923,"Gaseosas")&gt;0,1,0)</x:f>
        <x:v>0</x:v>
      </x:c>
    </x:row>
    <x:row r="113" ht="23" customHeight="1">
      <x:c r="A113" s="2" t="str">
        <x:v>SIM-202603-037</x:v>
      </x:c>
      <x:c r="B113" s="8" t="n">
        <x:v>46108</x:v>
      </x:c>
      <x:c r="C113" s="9" t="n">
        <x:v>0.7638888888888888</x:v>
      </x:c>
      <x:c r="D113" s="2" t="n">
        <x:v>4</x:v>
      </x:c>
      <x:c r="E113" s="10" t="n">
        <x:v>52000</x:v>
      </x:c>
      <x:c r="F113" s="20" t="str">
        <x:v>Simulado</x:v>
      </x:c>
      <x:c r="G113" s="11" t="n">
        <x:f>DATE(YEAR(B113),MONTH(B113),1)</x:f>
        <x:v>46082</x:v>
      </x:c>
      <x:c r="H113" s="2" t="n">
        <x:f>WEEKDAY(B113,2)</x:f>
        <x:v>5</x:v>
      </x:c>
      <x:c r="I113" s="2" t="n">
        <x:f>IF(COUNTIFS($B$7:B113,B113)=1,1,0)</x:f>
        <x:v>1</x:v>
      </x:c>
      <x:c r="J113" s="2" t="n">
        <x:f>IF(COUNTIFS('Detalle'!$A$7:$A$923,A113,'Detalle'!$B$7:$B$923,"Gaseosas")&gt;0,1,0)</x:f>
        <x:v>1</x:v>
      </x:c>
    </x:row>
    <x:row r="114" ht="23" customHeight="1">
      <x:c r="A114" s="2" t="str">
        <x:v>SIM-202603-038</x:v>
      </x:c>
      <x:c r="B114" s="8" t="n">
        <x:v>46109</x:v>
      </x:c>
      <x:c r="C114" s="9" t="n">
        <x:v>0.7944444444444444</x:v>
      </x:c>
      <x:c r="D114" s="2" t="n">
        <x:v>3</x:v>
      </x:c>
      <x:c r="E114" s="10" t="n">
        <x:v>74000</x:v>
      </x:c>
      <x:c r="F114" s="20" t="str">
        <x:v>Simulado</x:v>
      </x:c>
      <x:c r="G114" s="11" t="n">
        <x:f>DATE(YEAR(B114),MONTH(B114),1)</x:f>
        <x:v>46082</x:v>
      </x:c>
      <x:c r="H114" s="2" t="n">
        <x:f>WEEKDAY(B114,2)</x:f>
        <x:v>6</x:v>
      </x:c>
      <x:c r="I114" s="2" t="n">
        <x:f>IF(COUNTIFS($B$7:B114,B114)=1,1,0)</x:f>
        <x:v>1</x:v>
      </x:c>
      <x:c r="J114" s="2" t="n">
        <x:f>IF(COUNTIFS('Detalle'!$A$7:$A$923,A114,'Detalle'!$B$7:$B$923,"Gaseosas")&gt;0,1,0)</x:f>
        <x:v>1</x:v>
      </x:c>
    </x:row>
    <x:row r="115" ht="23" customHeight="1">
      <x:c r="A115" s="2" t="str">
        <x:v>SIM-202603-039</x:v>
      </x:c>
      <x:c r="B115" s="8" t="n">
        <x:v>46109</x:v>
      </x:c>
      <x:c r="C115" s="9" t="n">
        <x:v>0.80625</x:v>
      </x:c>
      <x:c r="D115" s="2" t="n">
        <x:v>1</x:v>
      </x:c>
      <x:c r="E115" s="10" t="n">
        <x:v>43000</x:v>
      </x:c>
      <x:c r="F115" s="20" t="str">
        <x:v>Simulado</x:v>
      </x:c>
      <x:c r="G115" s="11" t="n">
        <x:f>DATE(YEAR(B115),MONTH(B115),1)</x:f>
        <x:v>46082</x:v>
      </x:c>
      <x:c r="H115" s="2" t="n">
        <x:f>WEEKDAY(B115,2)</x:f>
        <x:v>6</x:v>
      </x:c>
      <x:c r="I115" s="2" t="n">
        <x:f>IF(COUNTIFS($B$7:B115,B115)=1,1,0)</x:f>
        <x:v>0</x:v>
      </x:c>
      <x:c r="J115" s="2" t="n">
        <x:f>IF(COUNTIFS('Detalle'!$A$7:$A$923,A115,'Detalle'!$B$7:$B$923,"Gaseosas")&gt;0,1,0)</x:f>
        <x:v>1</x:v>
      </x:c>
    </x:row>
    <x:row r="116" ht="23" customHeight="1">
      <x:c r="A116" s="2" t="str">
        <x:v>SIM-202603-040</x:v>
      </x:c>
      <x:c r="B116" s="8" t="n">
        <x:v>46112</x:v>
      </x:c>
      <x:c r="C116" s="9" t="n">
        <x:v>0.8381944444444445</x:v>
      </x:c>
      <x:c r="D116" s="2" t="n">
        <x:v>1</x:v>
      </x:c>
      <x:c r="E116" s="10" t="n">
        <x:v>25000</x:v>
      </x:c>
      <x:c r="F116" s="20" t="str">
        <x:v>Simulado</x:v>
      </x:c>
      <x:c r="G116" s="11" t="n">
        <x:f>DATE(YEAR(B116),MONTH(B116),1)</x:f>
        <x:v>46082</x:v>
      </x:c>
      <x:c r="H116" s="2" t="n">
        <x:f>WEEKDAY(B116,2)</x:f>
        <x:v>2</x:v>
      </x:c>
      <x:c r="I116" s="2" t="n">
        <x:f>IF(COUNTIFS($B$7:B116,B116)=1,1,0)</x:f>
        <x:v>1</x:v>
      </x:c>
      <x:c r="J116" s="2" t="n">
        <x:f>IF(COUNTIFS('Detalle'!$A$7:$A$923,A116,'Detalle'!$B$7:$B$923,"Gaseosas")&gt;0,1,0)</x:f>
        <x:v>1</x:v>
      </x:c>
    </x:row>
    <x:row r="117" ht="23" customHeight="1">
      <x:c r="A117" s="2" t="str">
        <x:v>SIM-202604-001</x:v>
      </x:c>
      <x:c r="B117" s="8" t="n">
        <x:v>46114</x:v>
      </x:c>
      <x:c r="C117" s="9" t="n">
        <x:v>0.8055555555555556</x:v>
      </x:c>
      <x:c r="D117" s="2" t="n">
        <x:v>2</x:v>
      </x:c>
      <x:c r="E117" s="10" t="n">
        <x:v>20000</x:v>
      </x:c>
      <x:c r="F117" s="20" t="str">
        <x:v>Simulado</x:v>
      </x:c>
      <x:c r="G117" s="11" t="n">
        <x:f>DATE(YEAR(B117),MONTH(B117),1)</x:f>
        <x:v>46113</x:v>
      </x:c>
      <x:c r="H117" s="2" t="n">
        <x:f>WEEKDAY(B117,2)</x:f>
        <x:v>4</x:v>
      </x:c>
      <x:c r="I117" s="2" t="n">
        <x:f>IF(COUNTIFS($B$7:B117,B117)=1,1,0)</x:f>
        <x:v>1</x:v>
      </x:c>
      <x:c r="J117" s="2" t="n">
        <x:f>IF(COUNTIFS('Detalle'!$A$7:$A$923,A117,'Detalle'!$B$7:$B$923,"Gaseosas")&gt;0,1,0)</x:f>
        <x:v>1</x:v>
      </x:c>
    </x:row>
    <x:row r="118" ht="23" customHeight="1">
      <x:c r="A118" s="2" t="str">
        <x:v>SIM-202604-002</x:v>
      </x:c>
      <x:c r="B118" s="8" t="n">
        <x:v>46115</x:v>
      </x:c>
      <x:c r="C118" s="9" t="n">
        <x:v>0.7097222222222223</x:v>
      </x:c>
      <x:c r="D118" s="2" t="n">
        <x:v>4</x:v>
      </x:c>
      <x:c r="E118" s="10" t="n">
        <x:v>38000</x:v>
      </x:c>
      <x:c r="F118" s="20" t="str">
        <x:v>Simulado</x:v>
      </x:c>
      <x:c r="G118" s="11" t="n">
        <x:f>DATE(YEAR(B118),MONTH(B118),1)</x:f>
        <x:v>46113</x:v>
      </x:c>
      <x:c r="H118" s="2" t="n">
        <x:f>WEEKDAY(B118,2)</x:f>
        <x:v>5</x:v>
      </x:c>
      <x:c r="I118" s="2" t="n">
        <x:f>IF(COUNTIFS($B$7:B118,B118)=1,1,0)</x:f>
        <x:v>1</x:v>
      </x:c>
      <x:c r="J118" s="2" t="n">
        <x:f>IF(COUNTIFS('Detalle'!$A$7:$A$923,A118,'Detalle'!$B$7:$B$923,"Gaseosas")&gt;0,1,0)</x:f>
        <x:v>1</x:v>
      </x:c>
    </x:row>
    <x:row r="119" ht="23" customHeight="1">
      <x:c r="A119" s="2" t="str">
        <x:v>SIM-202604-003</x:v>
      </x:c>
      <x:c r="B119" s="8" t="n">
        <x:v>46115</x:v>
      </x:c>
      <x:c r="C119" s="9" t="n">
        <x:v>0.7993055555555556</x:v>
      </x:c>
      <x:c r="D119" s="2" t="n">
        <x:v>1</x:v>
      </x:c>
      <x:c r="E119" s="10" t="n">
        <x:v>57000</x:v>
      </x:c>
      <x:c r="F119" s="20" t="str">
        <x:v>Simulado</x:v>
      </x:c>
      <x:c r="G119" s="11" t="n">
        <x:f>DATE(YEAR(B119),MONTH(B119),1)</x:f>
        <x:v>46113</x:v>
      </x:c>
      <x:c r="H119" s="2" t="n">
        <x:f>WEEKDAY(B119,2)</x:f>
        <x:v>5</x:v>
      </x:c>
      <x:c r="I119" s="2" t="n">
        <x:f>IF(COUNTIFS($B$7:B119,B119)=1,1,0)</x:f>
        <x:v>0</x:v>
      </x:c>
      <x:c r="J119" s="2" t="n">
        <x:f>IF(COUNTIFS('Detalle'!$A$7:$A$923,A119,'Detalle'!$B$7:$B$923,"Gaseosas")&gt;0,1,0)</x:f>
        <x:v>1</x:v>
      </x:c>
    </x:row>
    <x:row r="120" ht="23" customHeight="1">
      <x:c r="A120" s="2" t="str">
        <x:v>SIM-202604-004</x:v>
      </x:c>
      <x:c r="B120" s="8" t="n">
        <x:v>46116</x:v>
      </x:c>
      <x:c r="C120" s="9" t="n">
        <x:v>0.7875</x:v>
      </x:c>
      <x:c r="D120" s="2" t="n">
        <x:v>1</x:v>
      </x:c>
      <x:c r="E120" s="10" t="n">
        <x:v>45000</x:v>
      </x:c>
      <x:c r="F120" s="20" t="str">
        <x:v>Simulado</x:v>
      </x:c>
      <x:c r="G120" s="11" t="n">
        <x:f>DATE(YEAR(B120),MONTH(B120),1)</x:f>
        <x:v>46113</x:v>
      </x:c>
      <x:c r="H120" s="2" t="n">
        <x:f>WEEKDAY(B120,2)</x:f>
        <x:v>6</x:v>
      </x:c>
      <x:c r="I120" s="2" t="n">
        <x:f>IF(COUNTIFS($B$7:B120,B120)=1,1,0)</x:f>
        <x:v>1</x:v>
      </x:c>
      <x:c r="J120" s="2" t="n">
        <x:f>IF(COUNTIFS('Detalle'!$A$7:$A$923,A120,'Detalle'!$B$7:$B$923,"Gaseosas")&gt;0,1,0)</x:f>
        <x:v>1</x:v>
      </x:c>
    </x:row>
    <x:row r="121" ht="23" customHeight="1">
      <x:c r="A121" s="2" t="str">
        <x:v>SIM-202604-005</x:v>
      </x:c>
      <x:c r="B121" s="8" t="n">
        <x:v>46116</x:v>
      </x:c>
      <x:c r="C121" s="9" t="n">
        <x:v>0.7951388888888888</x:v>
      </x:c>
      <x:c r="D121" s="2" t="n">
        <x:v>1</x:v>
      </x:c>
      <x:c r="E121" s="10" t="n">
        <x:v>95000</x:v>
      </x:c>
      <x:c r="F121" s="20" t="str">
        <x:v>Simulado</x:v>
      </x:c>
      <x:c r="G121" s="11" t="n">
        <x:f>DATE(YEAR(B121),MONTH(B121),1)</x:f>
        <x:v>46113</x:v>
      </x:c>
      <x:c r="H121" s="2" t="n">
        <x:f>WEEKDAY(B121,2)</x:f>
        <x:v>6</x:v>
      </x:c>
      <x:c r="I121" s="2" t="n">
        <x:f>IF(COUNTIFS($B$7:B121,B121)=1,1,0)</x:f>
        <x:v>0</x:v>
      </x:c>
      <x:c r="J121" s="2" t="n">
        <x:f>IF(COUNTIFS('Detalle'!$A$7:$A$923,A121,'Detalle'!$B$7:$B$923,"Gaseosas")&gt;0,1,0)</x:f>
        <x:v>1</x:v>
      </x:c>
    </x:row>
    <x:row r="122" ht="23" customHeight="1">
      <x:c r="A122" s="2" t="str">
        <x:v>SIM-202604-006</x:v>
      </x:c>
      <x:c r="B122" s="8" t="n">
        <x:v>46116</x:v>
      </x:c>
      <x:c r="C122" s="9" t="n">
        <x:v>0.8409722222222222</x:v>
      </x:c>
      <x:c r="D122" s="2" t="n">
        <x:v>4</x:v>
      </x:c>
      <x:c r="E122" s="10" t="n">
        <x:v>20000</x:v>
      </x:c>
      <x:c r="F122" s="20" t="str">
        <x:v>Simulado</x:v>
      </x:c>
      <x:c r="G122" s="11" t="n">
        <x:f>DATE(YEAR(B122),MONTH(B122),1)</x:f>
        <x:v>46113</x:v>
      </x:c>
      <x:c r="H122" s="2" t="n">
        <x:f>WEEKDAY(B122,2)</x:f>
        <x:v>6</x:v>
      </x:c>
      <x:c r="I122" s="2" t="n">
        <x:f>IF(COUNTIFS($B$7:B122,B122)=1,1,0)</x:f>
        <x:v>0</x:v>
      </x:c>
      <x:c r="J122" s="2" t="n">
        <x:f>IF(COUNTIFS('Detalle'!$A$7:$A$923,A122,'Detalle'!$B$7:$B$923,"Gaseosas")&gt;0,1,0)</x:f>
        <x:v>1</x:v>
      </x:c>
    </x:row>
    <x:row r="123" ht="23" customHeight="1">
      <x:c r="A123" s="2" t="str">
        <x:v>SIM-202604-007</x:v>
      </x:c>
      <x:c r="B123" s="8" t="n">
        <x:v>46116</x:v>
      </x:c>
      <x:c r="C123" s="9" t="n">
        <x:v>0.8527777777777777</x:v>
      </x:c>
      <x:c r="D123" s="2" t="n">
        <x:v>2</x:v>
      </x:c>
      <x:c r="E123" s="10" t="n">
        <x:v>40000</x:v>
      </x:c>
      <x:c r="F123" s="20" t="str">
        <x:v>Simulado</x:v>
      </x:c>
      <x:c r="G123" s="11" t="n">
        <x:f>DATE(YEAR(B123),MONTH(B123),1)</x:f>
        <x:v>46113</x:v>
      </x:c>
      <x:c r="H123" s="2" t="n">
        <x:f>WEEKDAY(B123,2)</x:f>
        <x:v>6</x:v>
      </x:c>
      <x:c r="I123" s="2" t="n">
        <x:f>IF(COUNTIFS($B$7:B123,B123)=1,1,0)</x:f>
        <x:v>0</x:v>
      </x:c>
      <x:c r="J123" s="2" t="n">
        <x:f>IF(COUNTIFS('Detalle'!$A$7:$A$923,A123,'Detalle'!$B$7:$B$923,"Gaseosas")&gt;0,1,0)</x:f>
        <x:v>1</x:v>
      </x:c>
    </x:row>
    <x:row r="124" ht="23" customHeight="1">
      <x:c r="A124" s="2" t="str">
        <x:v>SIM-202604-008</x:v>
      </x:c>
      <x:c r="B124" s="8" t="n">
        <x:v>46117</x:v>
      </x:c>
      <x:c r="C124" s="9" t="n">
        <x:v>0.8548611111111111</x:v>
      </x:c>
      <x:c r="D124" s="2" t="n">
        <x:v>3</x:v>
      </x:c>
      <x:c r="E124" s="10" t="n">
        <x:v>57000</x:v>
      </x:c>
      <x:c r="F124" s="20" t="str">
        <x:v>Simulado</x:v>
      </x:c>
      <x:c r="G124" s="11" t="n">
        <x:f>DATE(YEAR(B124),MONTH(B124),1)</x:f>
        <x:v>46113</x:v>
      </x:c>
      <x:c r="H124" s="2" t="n">
        <x:f>WEEKDAY(B124,2)</x:f>
        <x:v>7</x:v>
      </x:c>
      <x:c r="I124" s="2" t="n">
        <x:f>IF(COUNTIFS($B$7:B124,B124)=1,1,0)</x:f>
        <x:v>1</x:v>
      </x:c>
      <x:c r="J124" s="2" t="n">
        <x:f>IF(COUNTIFS('Detalle'!$A$7:$A$923,A124,'Detalle'!$B$7:$B$923,"Gaseosas")&gt;0,1,0)</x:f>
        <x:v>1</x:v>
      </x:c>
    </x:row>
    <x:row r="125" ht="23" customHeight="1">
      <x:c r="A125" s="2" t="str">
        <x:v>SIM-202604-009</x:v>
      </x:c>
      <x:c r="B125" s="8" t="n">
        <x:v>46119</x:v>
      </x:c>
      <x:c r="C125" s="9" t="n">
        <x:v>0.7833333333333333</x:v>
      </x:c>
      <x:c r="D125" s="2" t="n">
        <x:v>4</x:v>
      </x:c>
      <x:c r="E125" s="10" t="n">
        <x:v>45000</x:v>
      </x:c>
      <x:c r="F125" s="20" t="str">
        <x:v>Simulado</x:v>
      </x:c>
      <x:c r="G125" s="11" t="n">
        <x:f>DATE(YEAR(B125),MONTH(B125),1)</x:f>
        <x:v>46113</x:v>
      </x:c>
      <x:c r="H125" s="2" t="n">
        <x:f>WEEKDAY(B125,2)</x:f>
        <x:v>2</x:v>
      </x:c>
      <x:c r="I125" s="2" t="n">
        <x:f>IF(COUNTIFS($B$7:B125,B125)=1,1,0)</x:f>
        <x:v>1</x:v>
      </x:c>
      <x:c r="J125" s="2" t="n">
        <x:f>IF(COUNTIFS('Detalle'!$A$7:$A$923,A125,'Detalle'!$B$7:$B$923,"Gaseosas")&gt;0,1,0)</x:f>
        <x:v>1</x:v>
      </x:c>
    </x:row>
    <x:row r="126" ht="23" customHeight="1">
      <x:c r="A126" s="2" t="str">
        <x:v>SIM-202604-010</x:v>
      </x:c>
      <x:c r="B126" s="8" t="n">
        <x:v>46119</x:v>
      </x:c>
      <x:c r="C126" s="9" t="n">
        <x:v>0.8569444444444444</x:v>
      </x:c>
      <x:c r="D126" s="2" t="n">
        <x:v>4</x:v>
      </x:c>
      <x:c r="E126" s="10" t="n">
        <x:v>25000</x:v>
      </x:c>
      <x:c r="F126" s="20" t="str">
        <x:v>Simulado</x:v>
      </x:c>
      <x:c r="G126" s="11" t="n">
        <x:f>DATE(YEAR(B126),MONTH(B126),1)</x:f>
        <x:v>46113</x:v>
      </x:c>
      <x:c r="H126" s="2" t="n">
        <x:f>WEEKDAY(B126,2)</x:f>
        <x:v>2</x:v>
      </x:c>
      <x:c r="I126" s="2" t="n">
        <x:f>IF(COUNTIFS($B$7:B126,B126)=1,1,0)</x:f>
        <x:v>0</x:v>
      </x:c>
      <x:c r="J126" s="2" t="n">
        <x:f>IF(COUNTIFS('Detalle'!$A$7:$A$923,A126,'Detalle'!$B$7:$B$923,"Gaseosas")&gt;0,1,0)</x:f>
        <x:v>1</x:v>
      </x:c>
    </x:row>
    <x:row r="127" ht="23" customHeight="1">
      <x:c r="A127" s="2" t="str">
        <x:v>SIM-202604-011</x:v>
      </x:c>
      <x:c r="B127" s="8" t="n">
        <x:v>46119</x:v>
      </x:c>
      <x:c r="C127" s="9" t="n">
        <x:v>0.8645833333333334</x:v>
      </x:c>
      <x:c r="D127" s="2" t="n">
        <x:v>3</x:v>
      </x:c>
      <x:c r="E127" s="10" t="n">
        <x:v>15000</x:v>
      </x:c>
      <x:c r="F127" s="20" t="str">
        <x:v>Simulado</x:v>
      </x:c>
      <x:c r="G127" s="11" t="n">
        <x:f>DATE(YEAR(B127),MONTH(B127),1)</x:f>
        <x:v>46113</x:v>
      </x:c>
      <x:c r="H127" s="2" t="n">
        <x:f>WEEKDAY(B127,2)</x:f>
        <x:v>2</x:v>
      </x:c>
      <x:c r="I127" s="2" t="n">
        <x:f>IF(COUNTIFS($B$7:B127,B127)=1,1,0)</x:f>
        <x:v>0</x:v>
      </x:c>
      <x:c r="J127" s="2" t="n">
        <x:f>IF(COUNTIFS('Detalle'!$A$7:$A$923,A127,'Detalle'!$B$7:$B$923,"Gaseosas")&gt;0,1,0)</x:f>
        <x:v>0</x:v>
      </x:c>
    </x:row>
    <x:row r="128" ht="23" customHeight="1">
      <x:c r="A128" s="2" t="str">
        <x:v>SIM-202604-012</x:v>
      </x:c>
      <x:c r="B128" s="8" t="n">
        <x:v>46120</x:v>
      </x:c>
      <x:c r="C128" s="9" t="n">
        <x:v>0.7972222222222223</x:v>
      </x:c>
      <x:c r="D128" s="2" t="n">
        <x:v>3</x:v>
      </x:c>
      <x:c r="E128" s="10" t="n">
        <x:v>45000</x:v>
      </x:c>
      <x:c r="F128" s="20" t="str">
        <x:v>Simulado</x:v>
      </x:c>
      <x:c r="G128" s="11" t="n">
        <x:f>DATE(YEAR(B128),MONTH(B128),1)</x:f>
        <x:v>46113</x:v>
      </x:c>
      <x:c r="H128" s="2" t="n">
        <x:f>WEEKDAY(B128,2)</x:f>
        <x:v>3</x:v>
      </x:c>
      <x:c r="I128" s="2" t="n">
        <x:f>IF(COUNTIFS($B$7:B128,B128)=1,1,0)</x:f>
        <x:v>1</x:v>
      </x:c>
      <x:c r="J128" s="2" t="n">
        <x:f>IF(COUNTIFS('Detalle'!$A$7:$A$923,A128,'Detalle'!$B$7:$B$923,"Gaseosas")&gt;0,1,0)</x:f>
        <x:v>1</x:v>
      </x:c>
    </x:row>
    <x:row r="129" ht="23" customHeight="1">
      <x:c r="A129" s="2" t="str">
        <x:v>SIM-202604-013</x:v>
      </x:c>
      <x:c r="B129" s="8" t="n">
        <x:v>46122</x:v>
      </x:c>
      <x:c r="C129" s="9" t="n">
        <x:v>0.7868055555555555</x:v>
      </x:c>
      <x:c r="D129" s="2" t="n">
        <x:v>2</x:v>
      </x:c>
      <x:c r="E129" s="10" t="n">
        <x:v>20000</x:v>
      </x:c>
      <x:c r="F129" s="20" t="str">
        <x:v>Simulado</x:v>
      </x:c>
      <x:c r="G129" s="11" t="n">
        <x:f>DATE(YEAR(B129),MONTH(B129),1)</x:f>
        <x:v>46113</x:v>
      </x:c>
      <x:c r="H129" s="2" t="n">
        <x:f>WEEKDAY(B129,2)</x:f>
        <x:v>5</x:v>
      </x:c>
      <x:c r="I129" s="2" t="n">
        <x:f>IF(COUNTIFS($B$7:B129,B129)=1,1,0)</x:f>
        <x:v>1</x:v>
      </x:c>
      <x:c r="J129" s="2" t="n">
        <x:f>IF(COUNTIFS('Detalle'!$A$7:$A$923,A129,'Detalle'!$B$7:$B$923,"Gaseosas")&gt;0,1,0)</x:f>
        <x:v>1</x:v>
      </x:c>
    </x:row>
    <x:row r="130" ht="23" customHeight="1">
      <x:c r="A130" s="2" t="str">
        <x:v>SIM-202604-014</x:v>
      </x:c>
      <x:c r="B130" s="8" t="n">
        <x:v>46123</x:v>
      </x:c>
      <x:c r="C130" s="9" t="n">
        <x:v>0.8229166666666666</x:v>
      </x:c>
      <x:c r="D130" s="2" t="n">
        <x:v>2</x:v>
      </x:c>
      <x:c r="E130" s="10" t="n">
        <x:v>38000</x:v>
      </x:c>
      <x:c r="F130" s="20" t="str">
        <x:v>Simulado</x:v>
      </x:c>
      <x:c r="G130" s="11" t="n">
        <x:f>DATE(YEAR(B130),MONTH(B130),1)</x:f>
        <x:v>46113</x:v>
      </x:c>
      <x:c r="H130" s="2" t="n">
        <x:f>WEEKDAY(B130,2)</x:f>
        <x:v>6</x:v>
      </x:c>
      <x:c r="I130" s="2" t="n">
        <x:f>IF(COUNTIFS($B$7:B130,B130)=1,1,0)</x:f>
        <x:v>1</x:v>
      </x:c>
      <x:c r="J130" s="2" t="n">
        <x:f>IF(COUNTIFS('Detalle'!$A$7:$A$923,A130,'Detalle'!$B$7:$B$923,"Gaseosas")&gt;0,1,0)</x:f>
        <x:v>1</x:v>
      </x:c>
    </x:row>
    <x:row r="131" ht="23" customHeight="1">
      <x:c r="A131" s="2" t="str">
        <x:v>SIM-202604-015</x:v>
      </x:c>
      <x:c r="B131" s="8" t="n">
        <x:v>46124</x:v>
      </x:c>
      <x:c r="C131" s="9" t="n">
        <x:v>0.825</x:v>
      </x:c>
      <x:c r="D131" s="2" t="n">
        <x:v>4</x:v>
      </x:c>
      <x:c r="E131" s="10" t="n">
        <x:v>38000</x:v>
      </x:c>
      <x:c r="F131" s="20" t="str">
        <x:v>Simulado</x:v>
      </x:c>
      <x:c r="G131" s="11" t="n">
        <x:f>DATE(YEAR(B131),MONTH(B131),1)</x:f>
        <x:v>46113</x:v>
      </x:c>
      <x:c r="H131" s="2" t="n">
        <x:f>WEEKDAY(B131,2)</x:f>
        <x:v>7</x:v>
      </x:c>
      <x:c r="I131" s="2" t="n">
        <x:f>IF(COUNTIFS($B$7:B131,B131)=1,1,0)</x:f>
        <x:v>1</x:v>
      </x:c>
      <x:c r="J131" s="2" t="n">
        <x:f>IF(COUNTIFS('Detalle'!$A$7:$A$923,A131,'Detalle'!$B$7:$B$923,"Gaseosas")&gt;0,1,0)</x:f>
        <x:v>1</x:v>
      </x:c>
    </x:row>
    <x:row r="132" ht="23" customHeight="1">
      <x:c r="A132" s="2" t="str">
        <x:v>SIM-202604-016</x:v>
      </x:c>
      <x:c r="B132" s="8" t="n">
        <x:v>46124</x:v>
      </x:c>
      <x:c r="C132" s="9" t="n">
        <x:v>0.8548611111111111</x:v>
      </x:c>
      <x:c r="D132" s="2" t="n">
        <x:v>1</x:v>
      </x:c>
      <x:c r="E132" s="10" t="n">
        <x:v>70000</x:v>
      </x:c>
      <x:c r="F132" s="20" t="str">
        <x:v>Simulado</x:v>
      </x:c>
      <x:c r="G132" s="11" t="n">
        <x:f>DATE(YEAR(B132),MONTH(B132),1)</x:f>
        <x:v>46113</x:v>
      </x:c>
      <x:c r="H132" s="2" t="n">
        <x:f>WEEKDAY(B132,2)</x:f>
        <x:v>7</x:v>
      </x:c>
      <x:c r="I132" s="2" t="n">
        <x:f>IF(COUNTIFS($B$7:B132,B132)=1,1,0)</x:f>
        <x:v>0</x:v>
      </x:c>
      <x:c r="J132" s="2" t="n">
        <x:f>IF(COUNTIFS('Detalle'!$A$7:$A$923,A132,'Detalle'!$B$7:$B$923,"Gaseosas")&gt;0,1,0)</x:f>
        <x:v>1</x:v>
      </x:c>
    </x:row>
    <x:row r="133" ht="23" customHeight="1">
      <x:c r="A133" s="2" t="str">
        <x:v>SIM-202604-017</x:v>
      </x:c>
      <x:c r="B133" s="8" t="n">
        <x:v>46124</x:v>
      </x:c>
      <x:c r="C133" s="9" t="n">
        <x:v>0.8722222222222222</x:v>
      </x:c>
      <x:c r="D133" s="2" t="n">
        <x:v>2</x:v>
      </x:c>
      <x:c r="E133" s="10" t="n">
        <x:v>50000</x:v>
      </x:c>
      <x:c r="F133" s="20" t="str">
        <x:v>Simulado</x:v>
      </x:c>
      <x:c r="G133" s="11" t="n">
        <x:f>DATE(YEAR(B133),MONTH(B133),1)</x:f>
        <x:v>46113</x:v>
      </x:c>
      <x:c r="H133" s="2" t="n">
        <x:f>WEEKDAY(B133,2)</x:f>
        <x:v>7</x:v>
      </x:c>
      <x:c r="I133" s="2" t="n">
        <x:f>IF(COUNTIFS($B$7:B133,B133)=1,1,0)</x:f>
        <x:v>0</x:v>
      </x:c>
      <x:c r="J133" s="2" t="n">
        <x:f>IF(COUNTIFS('Detalle'!$A$7:$A$923,A133,'Detalle'!$B$7:$B$923,"Gaseosas")&gt;0,1,0)</x:f>
        <x:v>1</x:v>
      </x:c>
    </x:row>
    <x:row r="134" ht="23" customHeight="1">
      <x:c r="A134" s="2" t="str">
        <x:v>SIM-202604-018</x:v>
      </x:c>
      <x:c r="B134" s="8" t="n">
        <x:v>46127</x:v>
      </x:c>
      <x:c r="C134" s="9" t="n">
        <x:v>0.7097222222222223</x:v>
      </x:c>
      <x:c r="D134" s="2" t="n">
        <x:v>1</x:v>
      </x:c>
      <x:c r="E134" s="10" t="n">
        <x:v>52000</x:v>
      </x:c>
      <x:c r="F134" s="20" t="str">
        <x:v>Simulado</x:v>
      </x:c>
      <x:c r="G134" s="11" t="n">
        <x:f>DATE(YEAR(B134),MONTH(B134),1)</x:f>
        <x:v>46113</x:v>
      </x:c>
      <x:c r="H134" s="2" t="n">
        <x:f>WEEKDAY(B134,2)</x:f>
        <x:v>3</x:v>
      </x:c>
      <x:c r="I134" s="2" t="n">
        <x:f>IF(COUNTIFS($B$7:B134,B134)=1,1,0)</x:f>
        <x:v>1</x:v>
      </x:c>
      <x:c r="J134" s="2" t="n">
        <x:f>IF(COUNTIFS('Detalle'!$A$7:$A$923,A134,'Detalle'!$B$7:$B$923,"Gaseosas")&gt;0,1,0)</x:f>
        <x:v>1</x:v>
      </x:c>
    </x:row>
    <x:row r="135" ht="23" customHeight="1">
      <x:c r="A135" s="2" t="str">
        <x:v>SIM-202604-019</x:v>
      </x:c>
      <x:c r="B135" s="8" t="n">
        <x:v>46129</x:v>
      </x:c>
      <x:c r="C135" s="9" t="n">
        <x:v>0.7895833333333333</x:v>
      </x:c>
      <x:c r="D135" s="2" t="n">
        <x:v>3</x:v>
      </x:c>
      <x:c r="E135" s="10" t="n">
        <x:v>58000</x:v>
      </x:c>
      <x:c r="F135" s="20" t="str">
        <x:v>Simulado</x:v>
      </x:c>
      <x:c r="G135" s="11" t="n">
        <x:f>DATE(YEAR(B135),MONTH(B135),1)</x:f>
        <x:v>46113</x:v>
      </x:c>
      <x:c r="H135" s="2" t="n">
        <x:f>WEEKDAY(B135,2)</x:f>
        <x:v>5</x:v>
      </x:c>
      <x:c r="I135" s="2" t="n">
        <x:f>IF(COUNTIFS($B$7:B135,B135)=1,1,0)</x:f>
        <x:v>1</x:v>
      </x:c>
      <x:c r="J135" s="2" t="n">
        <x:f>IF(COUNTIFS('Detalle'!$A$7:$A$923,A135,'Detalle'!$B$7:$B$923,"Gaseosas")&gt;0,1,0)</x:f>
        <x:v>1</x:v>
      </x:c>
    </x:row>
    <x:row r="136" ht="23" customHeight="1">
      <x:c r="A136" s="2" t="str">
        <x:v>SIM-202604-020</x:v>
      </x:c>
      <x:c r="B136" s="8" t="n">
        <x:v>46129</x:v>
      </x:c>
      <x:c r="C136" s="9" t="n">
        <x:v>0.8013888888888889</x:v>
      </x:c>
      <x:c r="D136" s="2" t="n">
        <x:v>4</x:v>
      </x:c>
      <x:c r="E136" s="10" t="n">
        <x:v>38000</x:v>
      </x:c>
      <x:c r="F136" s="20" t="str">
        <x:v>Simulado</x:v>
      </x:c>
      <x:c r="G136" s="11" t="n">
        <x:f>DATE(YEAR(B136),MONTH(B136),1)</x:f>
        <x:v>46113</x:v>
      </x:c>
      <x:c r="H136" s="2" t="n">
        <x:f>WEEKDAY(B136,2)</x:f>
        <x:v>5</x:v>
      </x:c>
      <x:c r="I136" s="2" t="n">
        <x:f>IF(COUNTIFS($B$7:B136,B136)=1,1,0)</x:f>
        <x:v>0</x:v>
      </x:c>
      <x:c r="J136" s="2" t="n">
        <x:f>IF(COUNTIFS('Detalle'!$A$7:$A$923,A136,'Detalle'!$B$7:$B$923,"Gaseosas")&gt;0,1,0)</x:f>
        <x:v>1</x:v>
      </x:c>
    </x:row>
    <x:row r="137" ht="23" customHeight="1">
      <x:c r="A137" s="2" t="str">
        <x:v>SIM-202604-021</x:v>
      </x:c>
      <x:c r="B137" s="8" t="n">
        <x:v>46129</x:v>
      </x:c>
      <x:c r="C137" s="9" t="n">
        <x:v>0.85625</x:v>
      </x:c>
      <x:c r="D137" s="2" t="n">
        <x:v>4</x:v>
      </x:c>
      <x:c r="E137" s="10" t="n">
        <x:v>60000</x:v>
      </x:c>
      <x:c r="F137" s="20" t="str">
        <x:v>Simulado</x:v>
      </x:c>
      <x:c r="G137" s="11" t="n">
        <x:f>DATE(YEAR(B137),MONTH(B137),1)</x:f>
        <x:v>46113</x:v>
      </x:c>
      <x:c r="H137" s="2" t="n">
        <x:f>WEEKDAY(B137,2)</x:f>
        <x:v>5</x:v>
      </x:c>
      <x:c r="I137" s="2" t="n">
        <x:f>IF(COUNTIFS($B$7:B137,B137)=1,1,0)</x:f>
        <x:v>0</x:v>
      </x:c>
      <x:c r="J137" s="2" t="n">
        <x:f>IF(COUNTIFS('Detalle'!$A$7:$A$923,A137,'Detalle'!$B$7:$B$923,"Gaseosas")&gt;0,1,0)</x:f>
        <x:v>1</x:v>
      </x:c>
    </x:row>
    <x:row r="138" ht="23" customHeight="1">
      <x:c r="A138" s="2" t="str">
        <x:v>SIM-202604-022</x:v>
      </x:c>
      <x:c r="B138" s="8" t="n">
        <x:v>46129</x:v>
      </x:c>
      <x:c r="C138" s="9" t="n">
        <x:v>0.8722222222222222</x:v>
      </x:c>
      <x:c r="D138" s="2" t="n">
        <x:v>2</x:v>
      </x:c>
      <x:c r="E138" s="10" t="n">
        <x:v>30000</x:v>
      </x:c>
      <x:c r="F138" s="20" t="str">
        <x:v>Simulado</x:v>
      </x:c>
      <x:c r="G138" s="11" t="n">
        <x:f>DATE(YEAR(B138),MONTH(B138),1)</x:f>
        <x:v>46113</x:v>
      </x:c>
      <x:c r="H138" s="2" t="n">
        <x:f>WEEKDAY(B138,2)</x:f>
        <x:v>5</x:v>
      </x:c>
      <x:c r="I138" s="2" t="n">
        <x:f>IF(COUNTIFS($B$7:B138,B138)=1,1,0)</x:f>
        <x:v>0</x:v>
      </x:c>
      <x:c r="J138" s="2" t="n">
        <x:f>IF(COUNTIFS('Detalle'!$A$7:$A$923,A138,'Detalle'!$B$7:$B$923,"Gaseosas")&gt;0,1,0)</x:f>
        <x:v>1</x:v>
      </x:c>
    </x:row>
    <x:row r="139" ht="23" customHeight="1">
      <x:c r="A139" s="2" t="str">
        <x:v>SIM-202604-023</x:v>
      </x:c>
      <x:c r="B139" s="8" t="n">
        <x:v>46130</x:v>
      </x:c>
      <x:c r="C139" s="9" t="n">
        <x:v>0.8013888888888889</x:v>
      </x:c>
      <x:c r="D139" s="2" t="n">
        <x:v>1</x:v>
      </x:c>
      <x:c r="E139" s="10" t="n">
        <x:v>15000</x:v>
      </x:c>
      <x:c r="F139" s="20" t="str">
        <x:v>Simulado</x:v>
      </x:c>
      <x:c r="G139" s="11" t="n">
        <x:f>DATE(YEAR(B139),MONTH(B139),1)</x:f>
        <x:v>46113</x:v>
      </x:c>
      <x:c r="H139" s="2" t="n">
        <x:f>WEEKDAY(B139,2)</x:f>
        <x:v>6</x:v>
      </x:c>
      <x:c r="I139" s="2" t="n">
        <x:f>IF(COUNTIFS($B$7:B139,B139)=1,1,0)</x:f>
        <x:v>1</x:v>
      </x:c>
      <x:c r="J139" s="2" t="n">
        <x:f>IF(COUNTIFS('Detalle'!$A$7:$A$923,A139,'Detalle'!$B$7:$B$923,"Gaseosas")&gt;0,1,0)</x:f>
        <x:v>0</x:v>
      </x:c>
    </x:row>
    <x:row r="140" ht="23" customHeight="1">
      <x:c r="A140" s="2" t="str">
        <x:v>SIM-202604-024</x:v>
      </x:c>
      <x:c r="B140" s="8" t="n">
        <x:v>46130</x:v>
      </x:c>
      <x:c r="C140" s="9" t="n">
        <x:v>0.81875</x:v>
      </x:c>
      <x:c r="D140" s="2" t="n">
        <x:v>1</x:v>
      </x:c>
      <x:c r="E140" s="10" t="n">
        <x:v>31000</x:v>
      </x:c>
      <x:c r="F140" s="20" t="str">
        <x:v>Simulado</x:v>
      </x:c>
      <x:c r="G140" s="11" t="n">
        <x:f>DATE(YEAR(B140),MONTH(B140),1)</x:f>
        <x:v>46113</x:v>
      </x:c>
      <x:c r="H140" s="2" t="n">
        <x:f>WEEKDAY(B140,2)</x:f>
        <x:v>6</x:v>
      </x:c>
      <x:c r="I140" s="2" t="n">
        <x:f>IF(COUNTIFS($B$7:B140,B140)=1,1,0)</x:f>
        <x:v>0</x:v>
      </x:c>
      <x:c r="J140" s="2" t="n">
        <x:f>IF(COUNTIFS('Detalle'!$A$7:$A$923,A140,'Detalle'!$B$7:$B$923,"Gaseosas")&gt;0,1,0)</x:f>
        <x:v>1</x:v>
      </x:c>
    </x:row>
    <x:row r="141" ht="23" customHeight="1">
      <x:c r="A141" s="2" t="str">
        <x:v>SIM-202604-025</x:v>
      </x:c>
      <x:c r="B141" s="8" t="n">
        <x:v>46130</x:v>
      </x:c>
      <x:c r="C141" s="9" t="n">
        <x:v>0.8569444444444444</x:v>
      </x:c>
      <x:c r="D141" s="2" t="n">
        <x:v>3</x:v>
      </x:c>
      <x:c r="E141" s="10" t="n">
        <x:v>60000</x:v>
      </x:c>
      <x:c r="F141" s="20" t="str">
        <x:v>Simulado</x:v>
      </x:c>
      <x:c r="G141" s="11" t="n">
        <x:f>DATE(YEAR(B141),MONTH(B141),1)</x:f>
        <x:v>46113</x:v>
      </x:c>
      <x:c r="H141" s="2" t="n">
        <x:f>WEEKDAY(B141,2)</x:f>
        <x:v>6</x:v>
      </x:c>
      <x:c r="I141" s="2" t="n">
        <x:f>IF(COUNTIFS($B$7:B141,B141)=1,1,0)</x:f>
        <x:v>0</x:v>
      </x:c>
      <x:c r="J141" s="2" t="n">
        <x:f>IF(COUNTIFS('Detalle'!$A$7:$A$923,A141,'Detalle'!$B$7:$B$923,"Gaseosas")&gt;0,1,0)</x:f>
        <x:v>1</x:v>
      </x:c>
    </x:row>
    <x:row r="142" ht="23" customHeight="1">
      <x:c r="A142" s="2" t="str">
        <x:v>SIM-202604-026</x:v>
      </x:c>
      <x:c r="B142" s="8" t="n">
        <x:v>46131</x:v>
      </x:c>
      <x:c r="C142" s="9" t="n">
        <x:v>0.9034722222222222</x:v>
      </x:c>
      <x:c r="D142" s="2" t="n">
        <x:v>4</x:v>
      </x:c>
      <x:c r="E142" s="10" t="n">
        <x:v>18000</x:v>
      </x:c>
      <x:c r="F142" s="20" t="str">
        <x:v>Simulado</x:v>
      </x:c>
      <x:c r="G142" s="11" t="n">
        <x:f>DATE(YEAR(B142),MONTH(B142),1)</x:f>
        <x:v>46113</x:v>
      </x:c>
      <x:c r="H142" s="2" t="n">
        <x:f>WEEKDAY(B142,2)</x:f>
        <x:v>7</x:v>
      </x:c>
      <x:c r="I142" s="2" t="n">
        <x:f>IF(COUNTIFS($B$7:B142,B142)=1,1,0)</x:f>
        <x:v>1</x:v>
      </x:c>
      <x:c r="J142" s="2" t="n">
        <x:f>IF(COUNTIFS('Detalle'!$A$7:$A$923,A142,'Detalle'!$B$7:$B$923,"Gaseosas")&gt;0,1,0)</x:f>
        <x:v>1</x:v>
      </x:c>
    </x:row>
    <x:row r="143" ht="23" customHeight="1">
      <x:c r="A143" s="2" t="str">
        <x:v>SIM-202604-027</x:v>
      </x:c>
      <x:c r="B143" s="8" t="n">
        <x:v>46133</x:v>
      </x:c>
      <x:c r="C143" s="9" t="n">
        <x:v>0.7958333333333333</x:v>
      </x:c>
      <x:c r="D143" s="2" t="n">
        <x:v>3</x:v>
      </x:c>
      <x:c r="E143" s="10" t="n">
        <x:v>18000</x:v>
      </x:c>
      <x:c r="F143" s="20" t="str">
        <x:v>Simulado</x:v>
      </x:c>
      <x:c r="G143" s="11" t="n">
        <x:f>DATE(YEAR(B143),MONTH(B143),1)</x:f>
        <x:v>46113</x:v>
      </x:c>
      <x:c r="H143" s="2" t="n">
        <x:f>WEEKDAY(B143,2)</x:f>
        <x:v>2</x:v>
      </x:c>
      <x:c r="I143" s="2" t="n">
        <x:f>IF(COUNTIFS($B$7:B143,B143)=1,1,0)</x:f>
        <x:v>1</x:v>
      </x:c>
      <x:c r="J143" s="2" t="n">
        <x:f>IF(COUNTIFS('Detalle'!$A$7:$A$923,A143,'Detalle'!$B$7:$B$923,"Gaseosas")&gt;0,1,0)</x:f>
        <x:v>1</x:v>
      </x:c>
    </x:row>
    <x:row r="144" ht="23" customHeight="1">
      <x:c r="A144" s="2" t="str">
        <x:v>SIM-202604-028</x:v>
      </x:c>
      <x:c r="B144" s="8" t="n">
        <x:v>46133</x:v>
      </x:c>
      <x:c r="C144" s="9" t="n">
        <x:v>0.8159722222222222</x:v>
      </x:c>
      <x:c r="D144" s="2" t="n">
        <x:v>2</x:v>
      </x:c>
      <x:c r="E144" s="10" t="n">
        <x:v>25000</x:v>
      </x:c>
      <x:c r="F144" s="20" t="str">
        <x:v>Simulado</x:v>
      </x:c>
      <x:c r="G144" s="11" t="n">
        <x:f>DATE(YEAR(B144),MONTH(B144),1)</x:f>
        <x:v>46113</x:v>
      </x:c>
      <x:c r="H144" s="2" t="n">
        <x:f>WEEKDAY(B144,2)</x:f>
        <x:v>2</x:v>
      </x:c>
      <x:c r="I144" s="2" t="n">
        <x:f>IF(COUNTIFS($B$7:B144,B144)=1,1,0)</x:f>
        <x:v>0</x:v>
      </x:c>
      <x:c r="J144" s="2" t="n">
        <x:f>IF(COUNTIFS('Detalle'!$A$7:$A$923,A144,'Detalle'!$B$7:$B$923,"Gaseosas")&gt;0,1,0)</x:f>
        <x:v>1</x:v>
      </x:c>
    </x:row>
    <x:row r="145" ht="23" customHeight="1">
      <x:c r="A145" s="2" t="str">
        <x:v>SIM-202604-029</x:v>
      </x:c>
      <x:c r="B145" s="8" t="n">
        <x:v>46133</x:v>
      </x:c>
      <x:c r="C145" s="9" t="n">
        <x:v>0.8298611111111112</x:v>
      </x:c>
      <x:c r="D145" s="2" t="n">
        <x:v>2</x:v>
      </x:c>
      <x:c r="E145" s="10" t="n">
        <x:v>20000</x:v>
      </x:c>
      <x:c r="F145" s="20" t="str">
        <x:v>Simulado</x:v>
      </x:c>
      <x:c r="G145" s="11" t="n">
        <x:f>DATE(YEAR(B145),MONTH(B145),1)</x:f>
        <x:v>46113</x:v>
      </x:c>
      <x:c r="H145" s="2" t="n">
        <x:f>WEEKDAY(B145,2)</x:f>
        <x:v>2</x:v>
      </x:c>
      <x:c r="I145" s="2" t="n">
        <x:f>IF(COUNTIFS($B$7:B145,B145)=1,1,0)</x:f>
        <x:v>0</x:v>
      </x:c>
      <x:c r="J145" s="2" t="n">
        <x:f>IF(COUNTIFS('Detalle'!$A$7:$A$923,A145,'Detalle'!$B$7:$B$923,"Gaseosas")&gt;0,1,0)</x:f>
        <x:v>1</x:v>
      </x:c>
    </x:row>
    <x:row r="146" ht="23" customHeight="1">
      <x:c r="A146" s="2" t="str">
        <x:v>SIM-202604-030</x:v>
      </x:c>
      <x:c r="B146" s="8" t="n">
        <x:v>46133</x:v>
      </x:c>
      <x:c r="C146" s="9" t="n">
        <x:v>0.8791666666666667</x:v>
      </x:c>
      <x:c r="D146" s="2" t="n">
        <x:v>1</x:v>
      </x:c>
      <x:c r="E146" s="10" t="n">
        <x:v>50000</x:v>
      </x:c>
      <x:c r="F146" s="20" t="str">
        <x:v>Simulado</x:v>
      </x:c>
      <x:c r="G146" s="11" t="n">
        <x:f>DATE(YEAR(B146),MONTH(B146),1)</x:f>
        <x:v>46113</x:v>
      </x:c>
      <x:c r="H146" s="2" t="n">
        <x:f>WEEKDAY(B146,2)</x:f>
        <x:v>2</x:v>
      </x:c>
      <x:c r="I146" s="2" t="n">
        <x:f>IF(COUNTIFS($B$7:B146,B146)=1,1,0)</x:f>
        <x:v>0</x:v>
      </x:c>
      <x:c r="J146" s="2" t="n">
        <x:f>IF(COUNTIFS('Detalle'!$A$7:$A$923,A146,'Detalle'!$B$7:$B$923,"Gaseosas")&gt;0,1,0)</x:f>
        <x:v>1</x:v>
      </x:c>
    </x:row>
    <x:row r="147" ht="23" customHeight="1">
      <x:c r="A147" s="2" t="str">
        <x:v>SIM-202604-031</x:v>
      </x:c>
      <x:c r="B147" s="8" t="n">
        <x:v>46135</x:v>
      </x:c>
      <x:c r="C147" s="9" t="n">
        <x:v>0.8041666666666667</x:v>
      </x:c>
      <x:c r="D147" s="2" t="n">
        <x:v>4</x:v>
      </x:c>
      <x:c r="E147" s="10" t="n">
        <x:v>18000</x:v>
      </x:c>
      <x:c r="F147" s="20" t="str">
        <x:v>Simulado</x:v>
      </x:c>
      <x:c r="G147" s="11" t="n">
        <x:f>DATE(YEAR(B147),MONTH(B147),1)</x:f>
        <x:v>46113</x:v>
      </x:c>
      <x:c r="H147" s="2" t="n">
        <x:f>WEEKDAY(B147,2)</x:f>
        <x:v>4</x:v>
      </x:c>
      <x:c r="I147" s="2" t="n">
        <x:f>IF(COUNTIFS($B$7:B147,B147)=1,1,0)</x:f>
        <x:v>1</x:v>
      </x:c>
      <x:c r="J147" s="2" t="n">
        <x:f>IF(COUNTIFS('Detalle'!$A$7:$A$923,A147,'Detalle'!$B$7:$B$923,"Gaseosas")&gt;0,1,0)</x:f>
        <x:v>1</x:v>
      </x:c>
    </x:row>
    <x:row r="148" ht="23" customHeight="1">
      <x:c r="A148" s="2" t="str">
        <x:v>SIM-202604-032</x:v>
      </x:c>
      <x:c r="B148" s="8" t="n">
        <x:v>46137</x:v>
      </x:c>
      <x:c r="C148" s="9" t="n">
        <x:v>0.7513888888888889</x:v>
      </x:c>
      <x:c r="D148" s="2" t="n">
        <x:v>1</x:v>
      </x:c>
      <x:c r="E148" s="10" t="n">
        <x:v>40000</x:v>
      </x:c>
      <x:c r="F148" s="20" t="str">
        <x:v>Simulado</x:v>
      </x:c>
      <x:c r="G148" s="11" t="n">
        <x:f>DATE(YEAR(B148),MONTH(B148),1)</x:f>
        <x:v>46113</x:v>
      </x:c>
      <x:c r="H148" s="2" t="n">
        <x:f>WEEKDAY(B148,2)</x:f>
        <x:v>6</x:v>
      </x:c>
      <x:c r="I148" s="2" t="n">
        <x:f>IF(COUNTIFS($B$7:B148,B148)=1,1,0)</x:f>
        <x:v>1</x:v>
      </x:c>
      <x:c r="J148" s="2" t="n">
        <x:f>IF(COUNTIFS('Detalle'!$A$7:$A$923,A148,'Detalle'!$B$7:$B$923,"Gaseosas")&gt;0,1,0)</x:f>
        <x:v>1</x:v>
      </x:c>
    </x:row>
    <x:row r="149" ht="23" customHeight="1">
      <x:c r="A149" s="2" t="str">
        <x:v>SIM-202604-033</x:v>
      </x:c>
      <x:c r="B149" s="8" t="n">
        <x:v>46137</x:v>
      </x:c>
      <x:c r="C149" s="9" t="n">
        <x:v>0.7555555555555555</x:v>
      </x:c>
      <x:c r="D149" s="2" t="n">
        <x:v>2</x:v>
      </x:c>
      <x:c r="E149" s="10" t="n">
        <x:v>15000</x:v>
      </x:c>
      <x:c r="F149" s="20" t="str">
        <x:v>Simulado</x:v>
      </x:c>
      <x:c r="G149" s="11" t="n">
        <x:f>DATE(YEAR(B149),MONTH(B149),1)</x:f>
        <x:v>46113</x:v>
      </x:c>
      <x:c r="H149" s="2" t="n">
        <x:f>WEEKDAY(B149,2)</x:f>
        <x:v>6</x:v>
      </x:c>
      <x:c r="I149" s="2" t="n">
        <x:f>IF(COUNTIFS($B$7:B149,B149)=1,1,0)</x:f>
        <x:v>0</x:v>
      </x:c>
      <x:c r="J149" s="2" t="n">
        <x:f>IF(COUNTIFS('Detalle'!$A$7:$A$923,A149,'Detalle'!$B$7:$B$923,"Gaseosas")&gt;0,1,0)</x:f>
        <x:v>0</x:v>
      </x:c>
    </x:row>
    <x:row r="150" ht="23" customHeight="1">
      <x:c r="A150" s="2" t="str">
        <x:v>SIM-202604-034</x:v>
      </x:c>
      <x:c r="B150" s="8" t="n">
        <x:v>46137</x:v>
      </x:c>
      <x:c r="C150" s="9" t="n">
        <x:v>0.775</x:v>
      </x:c>
      <x:c r="D150" s="2" t="n">
        <x:v>3</x:v>
      </x:c>
      <x:c r="E150" s="10" t="n">
        <x:v>15000</x:v>
      </x:c>
      <x:c r="F150" s="20" t="str">
        <x:v>Simulado</x:v>
      </x:c>
      <x:c r="G150" s="11" t="n">
        <x:f>DATE(YEAR(B150),MONTH(B150),1)</x:f>
        <x:v>46113</x:v>
      </x:c>
      <x:c r="H150" s="2" t="n">
        <x:f>WEEKDAY(B150,2)</x:f>
        <x:v>6</x:v>
      </x:c>
      <x:c r="I150" s="2" t="n">
        <x:f>IF(COUNTIFS($B$7:B150,B150)=1,1,0)</x:f>
        <x:v>0</x:v>
      </x:c>
      <x:c r="J150" s="2" t="n">
        <x:f>IF(COUNTIFS('Detalle'!$A$7:$A$923,A150,'Detalle'!$B$7:$B$923,"Gaseosas")&gt;0,1,0)</x:f>
        <x:v>0</x:v>
      </x:c>
    </x:row>
    <x:row r="151" ht="23" customHeight="1">
      <x:c r="A151" s="2" t="str">
        <x:v>SIM-202604-035</x:v>
      </x:c>
      <x:c r="B151" s="8" t="n">
        <x:v>46137</x:v>
      </x:c>
      <x:c r="C151" s="9" t="n">
        <x:v>0.8590277777777777</x:v>
      </x:c>
      <x:c r="D151" s="2" t="n">
        <x:v>1</x:v>
      </x:c>
      <x:c r="E151" s="10" t="n">
        <x:v>40000</x:v>
      </x:c>
      <x:c r="F151" s="20" t="str">
        <x:v>Simulado</x:v>
      </x:c>
      <x:c r="G151" s="11" t="n">
        <x:f>DATE(YEAR(B151),MONTH(B151),1)</x:f>
        <x:v>46113</x:v>
      </x:c>
      <x:c r="H151" s="2" t="n">
        <x:f>WEEKDAY(B151,2)</x:f>
        <x:v>6</x:v>
      </x:c>
      <x:c r="I151" s="2" t="n">
        <x:f>IF(COUNTIFS($B$7:B151,B151)=1,1,0)</x:f>
        <x:v>0</x:v>
      </x:c>
      <x:c r="J151" s="2" t="n">
        <x:f>IF(COUNTIFS('Detalle'!$A$7:$A$923,A151,'Detalle'!$B$7:$B$923,"Gaseosas")&gt;0,1,0)</x:f>
        <x:v>1</x:v>
      </x:c>
    </x:row>
    <x:row r="152" ht="23" customHeight="1">
      <x:c r="A152" s="2" t="str">
        <x:v>SIM-202604-036</x:v>
      </x:c>
      <x:c r="B152" s="8" t="n">
        <x:v>46137</x:v>
      </x:c>
      <x:c r="C152" s="9" t="n">
        <x:v>0.8631944444444445</x:v>
      </x:c>
      <x:c r="D152" s="2" t="n">
        <x:v>3</x:v>
      </x:c>
      <x:c r="E152" s="10" t="n">
        <x:v>50000</x:v>
      </x:c>
      <x:c r="F152" s="20" t="str">
        <x:v>Simulado</x:v>
      </x:c>
      <x:c r="G152" s="11" t="n">
        <x:f>DATE(YEAR(B152),MONTH(B152),1)</x:f>
        <x:v>46113</x:v>
      </x:c>
      <x:c r="H152" s="2" t="n">
        <x:f>WEEKDAY(B152,2)</x:f>
        <x:v>6</x:v>
      </x:c>
      <x:c r="I152" s="2" t="n">
        <x:f>IF(COUNTIFS($B$7:B152,B152)=1,1,0)</x:f>
        <x:v>0</x:v>
      </x:c>
      <x:c r="J152" s="2" t="n">
        <x:f>IF(COUNTIFS('Detalle'!$A$7:$A$923,A152,'Detalle'!$B$7:$B$923,"Gaseosas")&gt;0,1,0)</x:f>
        <x:v>1</x:v>
      </x:c>
    </x:row>
    <x:row r="153" ht="23" customHeight="1">
      <x:c r="A153" s="2" t="str">
        <x:v>SIM-202604-037</x:v>
      </x:c>
      <x:c r="B153" s="8" t="n">
        <x:v>46138</x:v>
      </x:c>
      <x:c r="C153" s="9" t="n">
        <x:v>0.8736111111111111</x:v>
      </x:c>
      <x:c r="D153" s="2" t="n">
        <x:v>4</x:v>
      </x:c>
      <x:c r="E153" s="10" t="n">
        <x:v>60000</x:v>
      </x:c>
      <x:c r="F153" s="20" t="str">
        <x:v>Simulado</x:v>
      </x:c>
      <x:c r="G153" s="11" t="n">
        <x:f>DATE(YEAR(B153),MONTH(B153),1)</x:f>
        <x:v>46113</x:v>
      </x:c>
      <x:c r="H153" s="2" t="n">
        <x:f>WEEKDAY(B153,2)</x:f>
        <x:v>7</x:v>
      </x:c>
      <x:c r="I153" s="2" t="n">
        <x:f>IF(COUNTIFS($B$7:B153,B153)=1,1,0)</x:f>
        <x:v>1</x:v>
      </x:c>
      <x:c r="J153" s="2" t="n">
        <x:f>IF(COUNTIFS('Detalle'!$A$7:$A$923,A153,'Detalle'!$B$7:$B$923,"Gaseosas")&gt;0,1,0)</x:f>
        <x:v>1</x:v>
      </x:c>
    </x:row>
    <x:row r="154" ht="23" customHeight="1">
      <x:c r="A154" s="2" t="str">
        <x:v>SIM-202604-038</x:v>
      </x:c>
      <x:c r="B154" s="8" t="n">
        <x:v>46141</x:v>
      </x:c>
      <x:c r="C154" s="9" t="n">
        <x:v>0.7375</x:v>
      </x:c>
      <x:c r="D154" s="2" t="n">
        <x:v>2</x:v>
      </x:c>
      <x:c r="E154" s="10" t="n">
        <x:v>38000</x:v>
      </x:c>
      <x:c r="F154" s="20" t="str">
        <x:v>Simulado</x:v>
      </x:c>
      <x:c r="G154" s="11" t="n">
        <x:f>DATE(YEAR(B154),MONTH(B154),1)</x:f>
        <x:v>46113</x:v>
      </x:c>
      <x:c r="H154" s="2" t="n">
        <x:f>WEEKDAY(B154,2)</x:f>
        <x:v>3</x:v>
      </x:c>
      <x:c r="I154" s="2" t="n">
        <x:f>IF(COUNTIFS($B$7:B154,B154)=1,1,0)</x:f>
        <x:v>1</x:v>
      </x:c>
      <x:c r="J154" s="2" t="n">
        <x:f>IF(COUNTIFS('Detalle'!$A$7:$A$923,A154,'Detalle'!$B$7:$B$923,"Gaseosas")&gt;0,1,0)</x:f>
        <x:v>1</x:v>
      </x:c>
    </x:row>
    <x:row r="155" ht="23" customHeight="1">
      <x:c r="A155" s="2" t="str">
        <x:v>SIM-202605-001</x:v>
      </x:c>
      <x:c r="B155" s="8" t="n">
        <x:v>46143</x:v>
      </x:c>
      <x:c r="C155" s="9" t="n">
        <x:v>0.7673611111111112</x:v>
      </x:c>
      <x:c r="D155" s="2" t="n">
        <x:v>2</x:v>
      </x:c>
      <x:c r="E155" s="10" t="n">
        <x:v>56000</x:v>
      </x:c>
      <x:c r="F155" s="20" t="str">
        <x:v>Simulado</x:v>
      </x:c>
      <x:c r="G155" s="11" t="n">
        <x:f>DATE(YEAR(B155),MONTH(B155),1)</x:f>
        <x:v>46143</x:v>
      </x:c>
      <x:c r="H155" s="2" t="n">
        <x:f>WEEKDAY(B155,2)</x:f>
        <x:v>5</x:v>
      </x:c>
      <x:c r="I155" s="2" t="n">
        <x:f>IF(COUNTIFS($B$7:B155,B155)=1,1,0)</x:f>
        <x:v>1</x:v>
      </x:c>
      <x:c r="J155" s="2" t="n">
        <x:f>IF(COUNTIFS('Detalle'!$A$7:$A$923,A155,'Detalle'!$B$7:$B$923,"Gaseosas")&gt;0,1,0)</x:f>
        <x:v>1</x:v>
      </x:c>
    </x:row>
    <x:row r="156" ht="23" customHeight="1">
      <x:c r="A156" s="2" t="str">
        <x:v>SIM-202605-002</x:v>
      </x:c>
      <x:c r="B156" s="8" t="n">
        <x:v>46143</x:v>
      </x:c>
      <x:c r="C156" s="9" t="n">
        <x:v>0.8055555555555556</x:v>
      </x:c>
      <x:c r="D156" s="2" t="n">
        <x:v>3</x:v>
      </x:c>
      <x:c r="E156" s="10" t="n">
        <x:v>45000</x:v>
      </x:c>
      <x:c r="F156" s="20" t="str">
        <x:v>Simulado</x:v>
      </x:c>
      <x:c r="G156" s="11" t="n">
        <x:f>DATE(YEAR(B156),MONTH(B156),1)</x:f>
        <x:v>46143</x:v>
      </x:c>
      <x:c r="H156" s="2" t="n">
        <x:f>WEEKDAY(B156,2)</x:f>
        <x:v>5</x:v>
      </x:c>
      <x:c r="I156" s="2" t="n">
        <x:f>IF(COUNTIFS($B$7:B156,B156)=1,1,0)</x:f>
        <x:v>0</x:v>
      </x:c>
      <x:c r="J156" s="2" t="n">
        <x:f>IF(COUNTIFS('Detalle'!$A$7:$A$923,A156,'Detalle'!$B$7:$B$923,"Gaseosas")&gt;0,1,0)</x:f>
        <x:v>1</x:v>
      </x:c>
    </x:row>
    <x:row r="157" ht="23" customHeight="1">
      <x:c r="A157" s="2" t="str">
        <x:v>SIM-202605-003</x:v>
      </x:c>
      <x:c r="B157" s="8" t="n">
        <x:v>46143</x:v>
      </x:c>
      <x:c r="C157" s="9" t="n">
        <x:v>0.8305555555555556</x:v>
      </x:c>
      <x:c r="D157" s="2" t="n">
        <x:v>2</x:v>
      </x:c>
      <x:c r="E157" s="10" t="n">
        <x:v>78000</x:v>
      </x:c>
      <x:c r="F157" s="20" t="str">
        <x:v>Simulado</x:v>
      </x:c>
      <x:c r="G157" s="11" t="n">
        <x:f>DATE(YEAR(B157),MONTH(B157),1)</x:f>
        <x:v>46143</x:v>
      </x:c>
      <x:c r="H157" s="2" t="n">
        <x:f>WEEKDAY(B157,2)</x:f>
        <x:v>5</x:v>
      </x:c>
      <x:c r="I157" s="2" t="n">
        <x:f>IF(COUNTIFS($B$7:B157,B157)=1,1,0)</x:f>
        <x:v>0</x:v>
      </x:c>
      <x:c r="J157" s="2" t="n">
        <x:f>IF(COUNTIFS('Detalle'!$A$7:$A$923,A157,'Detalle'!$B$7:$B$923,"Gaseosas")&gt;0,1,0)</x:f>
        <x:v>1</x:v>
      </x:c>
    </x:row>
    <x:row r="158" ht="23" customHeight="1">
      <x:c r="A158" s="2" t="str">
        <x:v>SIM-202605-004</x:v>
      </x:c>
      <x:c r="B158" s="8" t="n">
        <x:v>46144</x:v>
      </x:c>
      <x:c r="C158" s="9" t="n">
        <x:v>0.7916666666666666</x:v>
      </x:c>
      <x:c r="D158" s="2" t="n">
        <x:v>3</x:v>
      </x:c>
      <x:c r="E158" s="10" t="n">
        <x:v>28000</x:v>
      </x:c>
      <x:c r="F158" s="20" t="str">
        <x:v>Simulado</x:v>
      </x:c>
      <x:c r="G158" s="11" t="n">
        <x:f>DATE(YEAR(B158),MONTH(B158),1)</x:f>
        <x:v>46143</x:v>
      </x:c>
      <x:c r="H158" s="2" t="n">
        <x:f>WEEKDAY(B158,2)</x:f>
        <x:v>6</x:v>
      </x:c>
      <x:c r="I158" s="2" t="n">
        <x:f>IF(COUNTIFS($B$7:B158,B158)=1,1,0)</x:f>
        <x:v>1</x:v>
      </x:c>
      <x:c r="J158" s="2" t="n">
        <x:f>IF(COUNTIFS('Detalle'!$A$7:$A$923,A158,'Detalle'!$B$7:$B$923,"Gaseosas")&gt;0,1,0)</x:f>
        <x:v>0</x:v>
      </x:c>
    </x:row>
    <x:row r="159" ht="23" customHeight="1">
      <x:c r="A159" s="2" t="str">
        <x:v>SIM-202605-005</x:v>
      </x:c>
      <x:c r="B159" s="8" t="n">
        <x:v>46144</x:v>
      </x:c>
      <x:c r="C159" s="9" t="n">
        <x:v>0.8138888888888889</x:v>
      </x:c>
      <x:c r="D159" s="2" t="n">
        <x:v>2</x:v>
      </x:c>
      <x:c r="E159" s="10" t="n">
        <x:v>65000</x:v>
      </x:c>
      <x:c r="F159" s="20" t="str">
        <x:v>Simulado</x:v>
      </x:c>
      <x:c r="G159" s="11" t="n">
        <x:f>DATE(YEAR(B159),MONTH(B159),1)</x:f>
        <x:v>46143</x:v>
      </x:c>
      <x:c r="H159" s="2" t="n">
        <x:f>WEEKDAY(B159,2)</x:f>
        <x:v>6</x:v>
      </x:c>
      <x:c r="I159" s="2" t="n">
        <x:f>IF(COUNTIFS($B$7:B159,B159)=1,1,0)</x:f>
        <x:v>0</x:v>
      </x:c>
      <x:c r="J159" s="2" t="n">
        <x:f>IF(COUNTIFS('Detalle'!$A$7:$A$923,A159,'Detalle'!$B$7:$B$923,"Gaseosas")&gt;0,1,0)</x:f>
        <x:v>1</x:v>
      </x:c>
    </x:row>
    <x:row r="160" ht="23" customHeight="1">
      <x:c r="A160" s="2" t="str">
        <x:v>SIM-202605-006</x:v>
      </x:c>
      <x:c r="B160" s="8" t="n">
        <x:v>46145</x:v>
      </x:c>
      <x:c r="C160" s="9" t="n">
        <x:v>0.8506944444444444</x:v>
      </x:c>
      <x:c r="D160" s="2" t="n">
        <x:v>3</x:v>
      </x:c>
      <x:c r="E160" s="10" t="n">
        <x:v>20000</x:v>
      </x:c>
      <x:c r="F160" s="20" t="str">
        <x:v>Simulado</x:v>
      </x:c>
      <x:c r="G160" s="11" t="n">
        <x:f>DATE(YEAR(B160),MONTH(B160),1)</x:f>
        <x:v>46143</x:v>
      </x:c>
      <x:c r="H160" s="2" t="n">
        <x:f>WEEKDAY(B160,2)</x:f>
        <x:v>7</x:v>
      </x:c>
      <x:c r="I160" s="2" t="n">
        <x:f>IF(COUNTIFS($B$7:B160,B160)=1,1,0)</x:f>
        <x:v>1</x:v>
      </x:c>
      <x:c r="J160" s="2" t="n">
        <x:f>IF(COUNTIFS('Detalle'!$A$7:$A$923,A160,'Detalle'!$B$7:$B$923,"Gaseosas")&gt;0,1,0)</x:f>
        <x:v>1</x:v>
      </x:c>
    </x:row>
    <x:row r="161" ht="23" customHeight="1">
      <x:c r="A161" s="2" t="str">
        <x:v>SIM-202605-007</x:v>
      </x:c>
      <x:c r="B161" s="8" t="n">
        <x:v>46150</x:v>
      </x:c>
      <x:c r="C161" s="9" t="n">
        <x:v>0.8166666666666667</x:v>
      </x:c>
      <x:c r="D161" s="2" t="n">
        <x:v>2</x:v>
      </x:c>
      <x:c r="E161" s="10" t="n">
        <x:v>43000</x:v>
      </x:c>
      <x:c r="F161" s="20" t="str">
        <x:v>Simulado</x:v>
      </x:c>
      <x:c r="G161" s="11" t="n">
        <x:f>DATE(YEAR(B161),MONTH(B161),1)</x:f>
        <x:v>46143</x:v>
      </x:c>
      <x:c r="H161" s="2" t="n">
        <x:f>WEEKDAY(B161,2)</x:f>
        <x:v>5</x:v>
      </x:c>
      <x:c r="I161" s="2" t="n">
        <x:f>IF(COUNTIFS($B$7:B161,B161)=1,1,0)</x:f>
        <x:v>1</x:v>
      </x:c>
      <x:c r="J161" s="2" t="n">
        <x:f>IF(COUNTIFS('Detalle'!$A$7:$A$923,A161,'Detalle'!$B$7:$B$923,"Gaseosas")&gt;0,1,0)</x:f>
        <x:v>1</x:v>
      </x:c>
    </x:row>
    <x:row r="162" ht="23" customHeight="1">
      <x:c r="A162" s="2" t="str">
        <x:v>SIM-202605-008</x:v>
      </x:c>
      <x:c r="B162" s="8" t="n">
        <x:v>46150</x:v>
      </x:c>
      <x:c r="C162" s="9" t="n">
        <x:v>0.8340277777777778</x:v>
      </x:c>
      <x:c r="D162" s="2" t="n">
        <x:v>3</x:v>
      </x:c>
      <x:c r="E162" s="10" t="n">
        <x:v>13000</x:v>
      </x:c>
      <x:c r="F162" s="20" t="str">
        <x:v>Simulado</x:v>
      </x:c>
      <x:c r="G162" s="11" t="n">
        <x:f>DATE(YEAR(B162),MONTH(B162),1)</x:f>
        <x:v>46143</x:v>
      </x:c>
      <x:c r="H162" s="2" t="n">
        <x:f>WEEKDAY(B162,2)</x:f>
        <x:v>5</x:v>
      </x:c>
      <x:c r="I162" s="2" t="n">
        <x:f>IF(COUNTIFS($B$7:B162,B162)=1,1,0)</x:f>
        <x:v>0</x:v>
      </x:c>
      <x:c r="J162" s="2" t="n">
        <x:f>IF(COUNTIFS('Detalle'!$A$7:$A$923,A162,'Detalle'!$B$7:$B$923,"Gaseosas")&gt;0,1,0)</x:f>
        <x:v>0</x:v>
      </x:c>
    </x:row>
    <x:row r="163" ht="23" customHeight="1">
      <x:c r="A163" s="2" t="str">
        <x:v>SIM-202605-009</x:v>
      </x:c>
      <x:c r="B163" s="8" t="n">
        <x:v>46151</x:v>
      </x:c>
      <x:c r="C163" s="9" t="n">
        <x:v>0.7472222222222222</x:v>
      </x:c>
      <x:c r="D163" s="2" t="n">
        <x:v>2</x:v>
      </x:c>
      <x:c r="E163" s="10" t="n">
        <x:v>42000</x:v>
      </x:c>
      <x:c r="F163" s="20" t="str">
        <x:v>Simulado</x:v>
      </x:c>
      <x:c r="G163" s="11" t="n">
        <x:f>DATE(YEAR(B163),MONTH(B163),1)</x:f>
        <x:v>46143</x:v>
      </x:c>
      <x:c r="H163" s="2" t="n">
        <x:f>WEEKDAY(B163,2)</x:f>
        <x:v>6</x:v>
      </x:c>
      <x:c r="I163" s="2" t="n">
        <x:f>IF(COUNTIFS($B$7:B163,B163)=1,1,0)</x:f>
        <x:v>1</x:v>
      </x:c>
      <x:c r="J163" s="2" t="n">
        <x:f>IF(COUNTIFS('Detalle'!$A$7:$A$923,A163,'Detalle'!$B$7:$B$923,"Gaseosas")&gt;0,1,0)</x:f>
        <x:v>0</x:v>
      </x:c>
    </x:row>
    <x:row r="164" ht="23" customHeight="1">
      <x:c r="A164" s="2" t="str">
        <x:v>SIM-202605-010</x:v>
      </x:c>
      <x:c r="B164" s="8" t="n">
        <x:v>46151</x:v>
      </x:c>
      <x:c r="C164" s="9" t="n">
        <x:v>0.78125</x:v>
      </x:c>
      <x:c r="D164" s="2" t="n">
        <x:v>4</x:v>
      </x:c>
      <x:c r="E164" s="10" t="n">
        <x:v>42000</x:v>
      </x:c>
      <x:c r="F164" s="20" t="str">
        <x:v>Simulado</x:v>
      </x:c>
      <x:c r="G164" s="11" t="n">
        <x:f>DATE(YEAR(B164),MONTH(B164),1)</x:f>
        <x:v>46143</x:v>
      </x:c>
      <x:c r="H164" s="2" t="n">
        <x:f>WEEKDAY(B164,2)</x:f>
        <x:v>6</x:v>
      </x:c>
      <x:c r="I164" s="2" t="n">
        <x:f>IF(COUNTIFS($B$7:B164,B164)=1,1,0)</x:f>
        <x:v>0</x:v>
      </x:c>
      <x:c r="J164" s="2" t="n">
        <x:f>IF(COUNTIFS('Detalle'!$A$7:$A$923,A164,'Detalle'!$B$7:$B$923,"Gaseosas")&gt;0,1,0)</x:f>
        <x:v>1</x:v>
      </x:c>
    </x:row>
    <x:row r="165" ht="23" customHeight="1">
      <x:c r="A165" s="2" t="str">
        <x:v>SIM-202605-011</x:v>
      </x:c>
      <x:c r="B165" s="8" t="n">
        <x:v>46151</x:v>
      </x:c>
      <x:c r="C165" s="9" t="n">
        <x:v>0.8229166666666666</x:v>
      </x:c>
      <x:c r="D165" s="2" t="n">
        <x:v>2</x:v>
      </x:c>
      <x:c r="E165" s="10" t="n">
        <x:v>33000</x:v>
      </x:c>
      <x:c r="F165" s="20" t="str">
        <x:v>Simulado</x:v>
      </x:c>
      <x:c r="G165" s="11" t="n">
        <x:f>DATE(YEAR(B165),MONTH(B165),1)</x:f>
        <x:v>46143</x:v>
      </x:c>
      <x:c r="H165" s="2" t="n">
        <x:f>WEEKDAY(B165,2)</x:f>
        <x:v>6</x:v>
      </x:c>
      <x:c r="I165" s="2" t="n">
        <x:f>IF(COUNTIFS($B$7:B165,B165)=1,1,0)</x:f>
        <x:v>0</x:v>
      </x:c>
      <x:c r="J165" s="2" t="n">
        <x:f>IF(COUNTIFS('Detalle'!$A$7:$A$923,A165,'Detalle'!$B$7:$B$923,"Gaseosas")&gt;0,1,0)</x:f>
        <x:v>1</x:v>
      </x:c>
    </x:row>
    <x:row r="166" ht="23" customHeight="1">
      <x:c r="A166" s="2" t="str">
        <x:v>SIM-202605-012</x:v>
      </x:c>
      <x:c r="B166" s="8" t="n">
        <x:v>46151</x:v>
      </x:c>
      <x:c r="C166" s="9" t="n">
        <x:v>0.8611111111111112</x:v>
      </x:c>
      <x:c r="D166" s="2" t="n">
        <x:v>1</x:v>
      </x:c>
      <x:c r="E166" s="10" t="n">
        <x:v>33000</x:v>
      </x:c>
      <x:c r="F166" s="20" t="str">
        <x:v>Simulado</x:v>
      </x:c>
      <x:c r="G166" s="11" t="n">
        <x:f>DATE(YEAR(B166),MONTH(B166),1)</x:f>
        <x:v>46143</x:v>
      </x:c>
      <x:c r="H166" s="2" t="n">
        <x:f>WEEKDAY(B166,2)</x:f>
        <x:v>6</x:v>
      </x:c>
      <x:c r="I166" s="2" t="n">
        <x:f>IF(COUNTIFS($B$7:B166,B166)=1,1,0)</x:f>
        <x:v>0</x:v>
      </x:c>
      <x:c r="J166" s="2" t="n">
        <x:f>IF(COUNTIFS('Detalle'!$A$7:$A$923,A166,'Detalle'!$B$7:$B$923,"Gaseosas")&gt;0,1,0)</x:f>
        <x:v>0</x:v>
      </x:c>
    </x:row>
    <x:row r="167" ht="23" customHeight="1">
      <x:c r="A167" s="2" t="str">
        <x:v>SIM-202605-013</x:v>
      </x:c>
      <x:c r="B167" s="8" t="n">
        <x:v>46152</x:v>
      </x:c>
      <x:c r="C167" s="9" t="n">
        <x:v>0.8076388888888889</x:v>
      </x:c>
      <x:c r="D167" s="2" t="n">
        <x:v>1</x:v>
      </x:c>
      <x:c r="E167" s="10" t="n">
        <x:v>75000</x:v>
      </x:c>
      <x:c r="F167" s="20" t="str">
        <x:v>Simulado</x:v>
      </x:c>
      <x:c r="G167" s="11" t="n">
        <x:f>DATE(YEAR(B167),MONTH(B167),1)</x:f>
        <x:v>46143</x:v>
      </x:c>
      <x:c r="H167" s="2" t="n">
        <x:f>WEEKDAY(B167,2)</x:f>
        <x:v>7</x:v>
      </x:c>
      <x:c r="I167" s="2" t="n">
        <x:f>IF(COUNTIFS($B$7:B167,B167)=1,1,0)</x:f>
        <x:v>1</x:v>
      </x:c>
      <x:c r="J167" s="2" t="n">
        <x:f>IF(COUNTIFS('Detalle'!$A$7:$A$923,A167,'Detalle'!$B$7:$B$923,"Gaseosas")&gt;0,1,0)</x:f>
        <x:v>1</x:v>
      </x:c>
    </x:row>
    <x:row r="168" ht="23" customHeight="1">
      <x:c r="A168" s="2" t="str">
        <x:v>SIM-202605-014</x:v>
      </x:c>
      <x:c r="B168" s="8" t="n">
        <x:v>46152</x:v>
      </x:c>
      <x:c r="C168" s="9" t="n">
        <x:v>0.8166666666666667</x:v>
      </x:c>
      <x:c r="D168" s="2" t="n">
        <x:v>4</x:v>
      </x:c>
      <x:c r="E168" s="10" t="n">
        <x:v>15000</x:v>
      </x:c>
      <x:c r="F168" s="20" t="str">
        <x:v>Simulado</x:v>
      </x:c>
      <x:c r="G168" s="11" t="n">
        <x:f>DATE(YEAR(B168),MONTH(B168),1)</x:f>
        <x:v>46143</x:v>
      </x:c>
      <x:c r="H168" s="2" t="n">
        <x:f>WEEKDAY(B168,2)</x:f>
        <x:v>7</x:v>
      </x:c>
      <x:c r="I168" s="2" t="n">
        <x:f>IF(COUNTIFS($B$7:B168,B168)=1,1,0)</x:f>
        <x:v>0</x:v>
      </x:c>
      <x:c r="J168" s="2" t="n">
        <x:f>IF(COUNTIFS('Detalle'!$A$7:$A$923,A168,'Detalle'!$B$7:$B$923,"Gaseosas")&gt;0,1,0)</x:f>
        <x:v>0</x:v>
      </x:c>
    </x:row>
    <x:row r="169" ht="23" customHeight="1">
      <x:c r="A169" s="2" t="str">
        <x:v>SIM-202605-015</x:v>
      </x:c>
      <x:c r="B169" s="8" t="n">
        <x:v>46152</x:v>
      </x:c>
      <x:c r="C169" s="9" t="n">
        <x:v>0.8715277777777778</x:v>
      </x:c>
      <x:c r="D169" s="2" t="n">
        <x:v>2</x:v>
      </x:c>
      <x:c r="E169" s="10" t="n">
        <x:v>35000</x:v>
      </x:c>
      <x:c r="F169" s="20" t="str">
        <x:v>Simulado</x:v>
      </x:c>
      <x:c r="G169" s="11" t="n">
        <x:f>DATE(YEAR(B169),MONTH(B169),1)</x:f>
        <x:v>46143</x:v>
      </x:c>
      <x:c r="H169" s="2" t="n">
        <x:f>WEEKDAY(B169,2)</x:f>
        <x:v>7</x:v>
      </x:c>
      <x:c r="I169" s="2" t="n">
        <x:f>IF(COUNTIFS($B$7:B169,B169)=1,1,0)</x:f>
        <x:v>0</x:v>
      </x:c>
      <x:c r="J169" s="2" t="n">
        <x:f>IF(COUNTIFS('Detalle'!$A$7:$A$923,A169,'Detalle'!$B$7:$B$923,"Gaseosas")&gt;0,1,0)</x:f>
        <x:v>1</x:v>
      </x:c>
    </x:row>
    <x:row r="170" ht="23" customHeight="1">
      <x:c r="A170" s="2" t="str">
        <x:v>SIM-202605-016</x:v>
      </x:c>
      <x:c r="B170" s="8" t="n">
        <x:v>46156</x:v>
      </x:c>
      <x:c r="C170" s="9" t="n">
        <x:v>0.7861111111111111</x:v>
      </x:c>
      <x:c r="D170" s="2" t="n">
        <x:v>3</x:v>
      </x:c>
      <x:c r="E170" s="10" t="n">
        <x:v>20000</x:v>
      </x:c>
      <x:c r="F170" s="20" t="str">
        <x:v>Simulado</x:v>
      </x:c>
      <x:c r="G170" s="11" t="n">
        <x:f>DATE(YEAR(B170),MONTH(B170),1)</x:f>
        <x:v>46143</x:v>
      </x:c>
      <x:c r="H170" s="2" t="n">
        <x:f>WEEKDAY(B170,2)</x:f>
        <x:v>4</x:v>
      </x:c>
      <x:c r="I170" s="2" t="n">
        <x:f>IF(COUNTIFS($B$7:B170,B170)=1,1,0)</x:f>
        <x:v>1</x:v>
      </x:c>
      <x:c r="J170" s="2" t="n">
        <x:f>IF(COUNTIFS('Detalle'!$A$7:$A$923,A170,'Detalle'!$B$7:$B$923,"Gaseosas")&gt;0,1,0)</x:f>
        <x:v>1</x:v>
      </x:c>
    </x:row>
    <x:row r="171" ht="23" customHeight="1">
      <x:c r="A171" s="2" t="str">
        <x:v>SIM-202605-017</x:v>
      </x:c>
      <x:c r="B171" s="8" t="n">
        <x:v>46156</x:v>
      </x:c>
      <x:c r="C171" s="9" t="n">
        <x:v>0.8722222222222222</x:v>
      </x:c>
      <x:c r="D171" s="2" t="n">
        <x:v>1</x:v>
      </x:c>
      <x:c r="E171" s="10" t="n">
        <x:v>20000</x:v>
      </x:c>
      <x:c r="F171" s="20" t="str">
        <x:v>Simulado</x:v>
      </x:c>
      <x:c r="G171" s="11" t="n">
        <x:f>DATE(YEAR(B171),MONTH(B171),1)</x:f>
        <x:v>46143</x:v>
      </x:c>
      <x:c r="H171" s="2" t="n">
        <x:f>WEEKDAY(B171,2)</x:f>
        <x:v>4</x:v>
      </x:c>
      <x:c r="I171" s="2" t="n">
        <x:f>IF(COUNTIFS($B$7:B171,B171)=1,1,0)</x:f>
        <x:v>0</x:v>
      </x:c>
      <x:c r="J171" s="2" t="n">
        <x:f>IF(COUNTIFS('Detalle'!$A$7:$A$923,A171,'Detalle'!$B$7:$B$923,"Gaseosas")&gt;0,1,0)</x:f>
        <x:v>1</x:v>
      </x:c>
    </x:row>
    <x:row r="172" ht="23" customHeight="1">
      <x:c r="A172" s="2" t="str">
        <x:v>SIM-202605-018</x:v>
      </x:c>
      <x:c r="B172" s="8" t="n">
        <x:v>46157</x:v>
      </x:c>
      <x:c r="C172" s="9" t="n">
        <x:v>0.8201388888888889</x:v>
      </x:c>
      <x:c r="D172" s="2" t="n">
        <x:v>4</x:v>
      </x:c>
      <x:c r="E172" s="10" t="n">
        <x:v>52000</x:v>
      </x:c>
      <x:c r="F172" s="20" t="str">
        <x:v>Simulado</x:v>
      </x:c>
      <x:c r="G172" s="11" t="n">
        <x:f>DATE(YEAR(B172),MONTH(B172),1)</x:f>
        <x:v>46143</x:v>
      </x:c>
      <x:c r="H172" s="2" t="n">
        <x:f>WEEKDAY(B172,2)</x:f>
        <x:v>5</x:v>
      </x:c>
      <x:c r="I172" s="2" t="n">
        <x:f>IF(COUNTIFS($B$7:B172,B172)=1,1,0)</x:f>
        <x:v>1</x:v>
      </x:c>
      <x:c r="J172" s="2" t="n">
        <x:f>IF(COUNTIFS('Detalle'!$A$7:$A$923,A172,'Detalle'!$B$7:$B$923,"Gaseosas")&gt;0,1,0)</x:f>
        <x:v>1</x:v>
      </x:c>
    </x:row>
    <x:row r="173" ht="23" customHeight="1">
      <x:c r="A173" s="2" t="str">
        <x:v>SIM-202605-019</x:v>
      </x:c>
      <x:c r="B173" s="8" t="n">
        <x:v>46158</x:v>
      </x:c>
      <x:c r="C173" s="9" t="n">
        <x:v>0.7173611111111111</x:v>
      </x:c>
      <x:c r="D173" s="2" t="n">
        <x:v>3</x:v>
      </x:c>
      <x:c r="E173" s="10" t="n">
        <x:v>25000</x:v>
      </x:c>
      <x:c r="F173" s="20" t="str">
        <x:v>Simulado</x:v>
      </x:c>
      <x:c r="G173" s="11" t="n">
        <x:f>DATE(YEAR(B173),MONTH(B173),1)</x:f>
        <x:v>46143</x:v>
      </x:c>
      <x:c r="H173" s="2" t="n">
        <x:f>WEEKDAY(B173,2)</x:f>
        <x:v>6</x:v>
      </x:c>
      <x:c r="I173" s="2" t="n">
        <x:f>IF(COUNTIFS($B$7:B173,B173)=1,1,0)</x:f>
        <x:v>1</x:v>
      </x:c>
      <x:c r="J173" s="2" t="n">
        <x:f>IF(COUNTIFS('Detalle'!$A$7:$A$923,A173,'Detalle'!$B$7:$B$923,"Gaseosas")&gt;0,1,0)</x:f>
        <x:v>1</x:v>
      </x:c>
    </x:row>
    <x:row r="174" ht="23" customHeight="1">
      <x:c r="A174" s="2" t="str">
        <x:v>SIM-202605-020</x:v>
      </x:c>
      <x:c r="B174" s="8" t="n">
        <x:v>46158</x:v>
      </x:c>
      <x:c r="C174" s="9" t="n">
        <x:v>0.8673611111111111</x:v>
      </x:c>
      <x:c r="D174" s="2" t="n">
        <x:v>1</x:v>
      </x:c>
      <x:c r="E174" s="10" t="n">
        <x:v>33000</x:v>
      </x:c>
      <x:c r="F174" s="20" t="str">
        <x:v>Simulado</x:v>
      </x:c>
      <x:c r="G174" s="11" t="n">
        <x:f>DATE(YEAR(B174),MONTH(B174),1)</x:f>
        <x:v>46143</x:v>
      </x:c>
      <x:c r="H174" s="2" t="n">
        <x:f>WEEKDAY(B174,2)</x:f>
        <x:v>6</x:v>
      </x:c>
      <x:c r="I174" s="2" t="n">
        <x:f>IF(COUNTIFS($B$7:B174,B174)=1,1,0)</x:f>
        <x:v>0</x:v>
      </x:c>
      <x:c r="J174" s="2" t="n">
        <x:f>IF(COUNTIFS('Detalle'!$A$7:$A$923,A174,'Detalle'!$B$7:$B$923,"Gaseosas")&gt;0,1,0)</x:f>
        <x:v>1</x:v>
      </x:c>
    </x:row>
    <x:row r="175" ht="23" customHeight="1">
      <x:c r="A175" s="2" t="str">
        <x:v>SIM-202605-021</x:v>
      </x:c>
      <x:c r="B175" s="8" t="n">
        <x:v>46159</x:v>
      </x:c>
      <x:c r="C175" s="9" t="n">
        <x:v>0.7868055555555555</x:v>
      </x:c>
      <x:c r="D175" s="2" t="n">
        <x:v>3</x:v>
      </x:c>
      <x:c r="E175" s="10" t="n">
        <x:v>35000</x:v>
      </x:c>
      <x:c r="F175" s="20" t="str">
        <x:v>Simulado</x:v>
      </x:c>
      <x:c r="G175" s="11" t="n">
        <x:f>DATE(YEAR(B175),MONTH(B175),1)</x:f>
        <x:v>46143</x:v>
      </x:c>
      <x:c r="H175" s="2" t="n">
        <x:f>WEEKDAY(B175,2)</x:f>
        <x:v>7</x:v>
      </x:c>
      <x:c r="I175" s="2" t="n">
        <x:f>IF(COUNTIFS($B$7:B175,B175)=1,1,0)</x:f>
        <x:v>1</x:v>
      </x:c>
      <x:c r="J175" s="2" t="n">
        <x:f>IF(COUNTIFS('Detalle'!$A$7:$A$923,A175,'Detalle'!$B$7:$B$923,"Gaseosas")&gt;0,1,0)</x:f>
        <x:v>1</x:v>
      </x:c>
    </x:row>
    <x:row r="176" ht="23" customHeight="1">
      <x:c r="A176" s="2" t="str">
        <x:v>SIM-202605-022</x:v>
      </x:c>
      <x:c r="B176" s="8" t="n">
        <x:v>46159</x:v>
      </x:c>
      <x:c r="C176" s="9" t="n">
        <x:v>0.8083333333333333</x:v>
      </x:c>
      <x:c r="D176" s="2" t="n">
        <x:v>1</x:v>
      </x:c>
      <x:c r="E176" s="10" t="n">
        <x:v>45000</x:v>
      </x:c>
      <x:c r="F176" s="20" t="str">
        <x:v>Simulado</x:v>
      </x:c>
      <x:c r="G176" s="11" t="n">
        <x:f>DATE(YEAR(B176),MONTH(B176),1)</x:f>
        <x:v>46143</x:v>
      </x:c>
      <x:c r="H176" s="2" t="n">
        <x:f>WEEKDAY(B176,2)</x:f>
        <x:v>7</x:v>
      </x:c>
      <x:c r="I176" s="2" t="n">
        <x:f>IF(COUNTIFS($B$7:B176,B176)=1,1,0)</x:f>
        <x:v>0</x:v>
      </x:c>
      <x:c r="J176" s="2" t="n">
        <x:f>IF(COUNTIFS('Detalle'!$A$7:$A$923,A176,'Detalle'!$B$7:$B$923,"Gaseosas")&gt;0,1,0)</x:f>
        <x:v>1</x:v>
      </x:c>
    </x:row>
    <x:row r="177" ht="23" customHeight="1">
      <x:c r="A177" s="2" t="str">
        <x:v>SIM-202605-023</x:v>
      </x:c>
      <x:c r="B177" s="8" t="n">
        <x:v>46163</x:v>
      </x:c>
      <x:c r="C177" s="9" t="n">
        <x:v>0.8208333333333333</x:v>
      </x:c>
      <x:c r="D177" s="2" t="n">
        <x:v>4</x:v>
      </x:c>
      <x:c r="E177" s="10" t="n">
        <x:v>20000</x:v>
      </x:c>
      <x:c r="F177" s="20" t="str">
        <x:v>Simulado</x:v>
      </x:c>
      <x:c r="G177" s="11" t="n">
        <x:f>DATE(YEAR(B177),MONTH(B177),1)</x:f>
        <x:v>46143</x:v>
      </x:c>
      <x:c r="H177" s="2" t="n">
        <x:f>WEEKDAY(B177,2)</x:f>
        <x:v>4</x:v>
      </x:c>
      <x:c r="I177" s="2" t="n">
        <x:f>IF(COUNTIFS($B$7:B177,B177)=1,1,0)</x:f>
        <x:v>1</x:v>
      </x:c>
      <x:c r="J177" s="2" t="n">
        <x:f>IF(COUNTIFS('Detalle'!$A$7:$A$923,A177,'Detalle'!$B$7:$B$923,"Gaseosas")&gt;0,1,0)</x:f>
        <x:v>1</x:v>
      </x:c>
    </x:row>
    <x:row r="178" ht="23" customHeight="1">
      <x:c r="A178" s="2" t="str">
        <x:v>SIM-202605-024</x:v>
      </x:c>
      <x:c r="B178" s="8" t="n">
        <x:v>46163</x:v>
      </x:c>
      <x:c r="C178" s="9" t="n">
        <x:v>0.8590277777777777</x:v>
      </x:c>
      <x:c r="D178" s="2" t="n">
        <x:v>4</x:v>
      </x:c>
      <x:c r="E178" s="10" t="n">
        <x:v>17000</x:v>
      </x:c>
      <x:c r="F178" s="20" t="str">
        <x:v>Simulado</x:v>
      </x:c>
      <x:c r="G178" s="11" t="n">
        <x:f>DATE(YEAR(B178),MONTH(B178),1)</x:f>
        <x:v>46143</x:v>
      </x:c>
      <x:c r="H178" s="2" t="n">
        <x:f>WEEKDAY(B178,2)</x:f>
        <x:v>4</x:v>
      </x:c>
      <x:c r="I178" s="2" t="n">
        <x:f>IF(COUNTIFS($B$7:B178,B178)=1,1,0)</x:f>
        <x:v>0</x:v>
      </x:c>
      <x:c r="J178" s="2" t="n">
        <x:f>IF(COUNTIFS('Detalle'!$A$7:$A$923,A178,'Detalle'!$B$7:$B$923,"Gaseosas")&gt;0,1,0)</x:f>
        <x:v>1</x:v>
      </x:c>
    </x:row>
    <x:row r="179" ht="23" customHeight="1">
      <x:c r="A179" s="2" t="str">
        <x:v>SIM-202605-025</x:v>
      </x:c>
      <x:c r="B179" s="8" t="n">
        <x:v>46163</x:v>
      </x:c>
      <x:c r="C179" s="9" t="n">
        <x:v>0.8618055555555556</x:v>
      </x:c>
      <x:c r="D179" s="2" t="n">
        <x:v>3</x:v>
      </x:c>
      <x:c r="E179" s="10" t="n">
        <x:v>15000</x:v>
      </x:c>
      <x:c r="F179" s="20" t="str">
        <x:v>Simulado</x:v>
      </x:c>
      <x:c r="G179" s="11" t="n">
        <x:f>DATE(YEAR(B179),MONTH(B179),1)</x:f>
        <x:v>46143</x:v>
      </x:c>
      <x:c r="H179" s="2" t="n">
        <x:f>WEEKDAY(B179,2)</x:f>
        <x:v>4</x:v>
      </x:c>
      <x:c r="I179" s="2" t="n">
        <x:f>IF(COUNTIFS($B$7:B179,B179)=1,1,0)</x:f>
        <x:v>0</x:v>
      </x:c>
      <x:c r="J179" s="2" t="n">
        <x:f>IF(COUNTIFS('Detalle'!$A$7:$A$923,A179,'Detalle'!$B$7:$B$923,"Gaseosas")&gt;0,1,0)</x:f>
        <x:v>0</x:v>
      </x:c>
    </x:row>
    <x:row r="180" ht="23" customHeight="1">
      <x:c r="A180" s="2" t="str">
        <x:v>SIM-202605-026</x:v>
      </x:c>
      <x:c r="B180" s="8" t="n">
        <x:v>46164</x:v>
      </x:c>
      <x:c r="C180" s="9" t="n">
        <x:v>0.7611111111111111</x:v>
      </x:c>
      <x:c r="D180" s="2" t="n">
        <x:v>1</x:v>
      </x:c>
      <x:c r="E180" s="10" t="n">
        <x:v>33000</x:v>
      </x:c>
      <x:c r="F180" s="20" t="str">
        <x:v>Simulado</x:v>
      </x:c>
      <x:c r="G180" s="11" t="n">
        <x:f>DATE(YEAR(B180),MONTH(B180),1)</x:f>
        <x:v>46143</x:v>
      </x:c>
      <x:c r="H180" s="2" t="n">
        <x:f>WEEKDAY(B180,2)</x:f>
        <x:v>5</x:v>
      </x:c>
      <x:c r="I180" s="2" t="n">
        <x:f>IF(COUNTIFS($B$7:B180,B180)=1,1,0)</x:f>
        <x:v>1</x:v>
      </x:c>
      <x:c r="J180" s="2" t="n">
        <x:f>IF(COUNTIFS('Detalle'!$A$7:$A$923,A180,'Detalle'!$B$7:$B$923,"Gaseosas")&gt;0,1,0)</x:f>
        <x:v>1</x:v>
      </x:c>
    </x:row>
    <x:row r="181" ht="23" customHeight="1">
      <x:c r="A181" s="2" t="str">
        <x:v>SIM-202605-027</x:v>
      </x:c>
      <x:c r="B181" s="8" t="n">
        <x:v>46165</x:v>
      </x:c>
      <x:c r="C181" s="9" t="n">
        <x:v>0.7916666666666666</x:v>
      </x:c>
      <x:c r="D181" s="2" t="n">
        <x:v>3</x:v>
      </x:c>
      <x:c r="E181" s="10" t="n">
        <x:v>20000</x:v>
      </x:c>
      <x:c r="F181" s="20" t="str">
        <x:v>Simulado</x:v>
      </x:c>
      <x:c r="G181" s="11" t="n">
        <x:f>DATE(YEAR(B181),MONTH(B181),1)</x:f>
        <x:v>46143</x:v>
      </x:c>
      <x:c r="H181" s="2" t="n">
        <x:f>WEEKDAY(B181,2)</x:f>
        <x:v>6</x:v>
      </x:c>
      <x:c r="I181" s="2" t="n">
        <x:f>IF(COUNTIFS($B$7:B181,B181)=1,1,0)</x:f>
        <x:v>1</x:v>
      </x:c>
      <x:c r="J181" s="2" t="n">
        <x:f>IF(COUNTIFS('Detalle'!$A$7:$A$923,A181,'Detalle'!$B$7:$B$923,"Gaseosas")&gt;0,1,0)</x:f>
        <x:v>1</x:v>
      </x:c>
    </x:row>
    <x:row r="182" ht="23" customHeight="1">
      <x:c r="A182" s="2" t="str">
        <x:v>SIM-202605-028</x:v>
      </x:c>
      <x:c r="B182" s="8" t="n">
        <x:v>46165</x:v>
      </x:c>
      <x:c r="C182" s="9" t="n">
        <x:v>0.8152777777777778</x:v>
      </x:c>
      <x:c r="D182" s="2" t="n">
        <x:v>1</x:v>
      </x:c>
      <x:c r="E182" s="10" t="n">
        <x:v>40000</x:v>
      </x:c>
      <x:c r="F182" s="20" t="str">
        <x:v>Simulado</x:v>
      </x:c>
      <x:c r="G182" s="11" t="n">
        <x:f>DATE(YEAR(B182),MONTH(B182),1)</x:f>
        <x:v>46143</x:v>
      </x:c>
      <x:c r="H182" s="2" t="n">
        <x:f>WEEKDAY(B182,2)</x:f>
        <x:v>6</x:v>
      </x:c>
      <x:c r="I182" s="2" t="n">
        <x:f>IF(COUNTIFS($B$7:B182,B182)=1,1,0)</x:f>
        <x:v>0</x:v>
      </x:c>
      <x:c r="J182" s="2" t="n">
        <x:f>IF(COUNTIFS('Detalle'!$A$7:$A$923,A182,'Detalle'!$B$7:$B$923,"Gaseosas")&gt;0,1,0)</x:f>
        <x:v>1</x:v>
      </x:c>
    </x:row>
    <x:row r="183" ht="23" customHeight="1">
      <x:c r="A183" s="2" t="str">
        <x:v>SIM-202605-029</x:v>
      </x:c>
      <x:c r="B183" s="8" t="n">
        <x:v>46165</x:v>
      </x:c>
      <x:c r="C183" s="9" t="n">
        <x:v>0.8229166666666666</x:v>
      </x:c>
      <x:c r="D183" s="2" t="n">
        <x:v>4</x:v>
      </x:c>
      <x:c r="E183" s="10" t="n">
        <x:v>54000</x:v>
      </x:c>
      <x:c r="F183" s="20" t="str">
        <x:v>Simulado</x:v>
      </x:c>
      <x:c r="G183" s="11" t="n">
        <x:f>DATE(YEAR(B183),MONTH(B183),1)</x:f>
        <x:v>46143</x:v>
      </x:c>
      <x:c r="H183" s="2" t="n">
        <x:f>WEEKDAY(B183,2)</x:f>
        <x:v>6</x:v>
      </x:c>
      <x:c r="I183" s="2" t="n">
        <x:f>IF(COUNTIFS($B$7:B183,B183)=1,1,0)</x:f>
        <x:v>0</x:v>
      </x:c>
      <x:c r="J183" s="2" t="n">
        <x:f>IF(COUNTIFS('Detalle'!$A$7:$A$923,A183,'Detalle'!$B$7:$B$923,"Gaseosas")&gt;0,1,0)</x:f>
        <x:v>1</x:v>
      </x:c>
    </x:row>
    <x:row r="184" ht="23" customHeight="1">
      <x:c r="A184" s="2" t="str">
        <x:v>SIM-202605-030</x:v>
      </x:c>
      <x:c r="B184" s="8" t="n">
        <x:v>46166</x:v>
      </x:c>
      <x:c r="C184" s="9" t="n">
        <x:v>0.9118055555555555</x:v>
      </x:c>
      <x:c r="D184" s="2" t="n">
        <x:v>3</x:v>
      </x:c>
      <x:c r="E184" s="10" t="n">
        <x:v>25000</x:v>
      </x:c>
      <x:c r="F184" s="20" t="str">
        <x:v>Simulado</x:v>
      </x:c>
      <x:c r="G184" s="11" t="n">
        <x:f>DATE(YEAR(B184),MONTH(B184),1)</x:f>
        <x:v>46143</x:v>
      </x:c>
      <x:c r="H184" s="2" t="n">
        <x:f>WEEKDAY(B184,2)</x:f>
        <x:v>7</x:v>
      </x:c>
      <x:c r="I184" s="2" t="n">
        <x:f>IF(COUNTIFS($B$7:B184,B184)=1,1,0)</x:f>
        <x:v>1</x:v>
      </x:c>
      <x:c r="J184" s="2" t="n">
        <x:f>IF(COUNTIFS('Detalle'!$A$7:$A$923,A184,'Detalle'!$B$7:$B$923,"Gaseosas")&gt;0,1,0)</x:f>
        <x:v>1</x:v>
      </x:c>
    </x:row>
    <x:row r="185" ht="23" customHeight="1">
      <x:c r="A185" s="2" t="str">
        <x:v>SIM-202605-031</x:v>
      </x:c>
      <x:c r="B185" s="8" t="n">
        <x:v>46168</x:v>
      </x:c>
      <x:c r="C185" s="9" t="n">
        <x:v>0.7902777777777777</x:v>
      </x:c>
      <x:c r="D185" s="2" t="n">
        <x:v>3</x:v>
      </x:c>
      <x:c r="E185" s="10" t="n">
        <x:v>58000</x:v>
      </x:c>
      <x:c r="F185" s="20" t="str">
        <x:v>Simulado</x:v>
      </x:c>
      <x:c r="G185" s="11" t="n">
        <x:f>DATE(YEAR(B185),MONTH(B185),1)</x:f>
        <x:v>46143</x:v>
      </x:c>
      <x:c r="H185" s="2" t="n">
        <x:f>WEEKDAY(B185,2)</x:f>
        <x:v>2</x:v>
      </x:c>
      <x:c r="I185" s="2" t="n">
        <x:f>IF(COUNTIFS($B$7:B185,B185)=1,1,0)</x:f>
        <x:v>1</x:v>
      </x:c>
      <x:c r="J185" s="2" t="n">
        <x:f>IF(COUNTIFS('Detalle'!$A$7:$A$923,A185,'Detalle'!$B$7:$B$923,"Gaseosas")&gt;0,1,0)</x:f>
        <x:v>1</x:v>
      </x:c>
    </x:row>
    <x:row r="186" ht="23" customHeight="1">
      <x:c r="A186" s="2" t="str">
        <x:v>SIM-202605-032</x:v>
      </x:c>
      <x:c r="B186" s="8" t="n">
        <x:v>46168</x:v>
      </x:c>
      <x:c r="C186" s="9" t="n">
        <x:v>0.7951388888888888</x:v>
      </x:c>
      <x:c r="D186" s="2" t="n">
        <x:v>4</x:v>
      </x:c>
      <x:c r="E186" s="10" t="n">
        <x:v>20000</x:v>
      </x:c>
      <x:c r="F186" s="20" t="str">
        <x:v>Simulado</x:v>
      </x:c>
      <x:c r="G186" s="11" t="n">
        <x:f>DATE(YEAR(B186),MONTH(B186),1)</x:f>
        <x:v>46143</x:v>
      </x:c>
      <x:c r="H186" s="2" t="n">
        <x:f>WEEKDAY(B186,2)</x:f>
        <x:v>2</x:v>
      </x:c>
      <x:c r="I186" s="2" t="n">
        <x:f>IF(COUNTIFS($B$7:B186,B186)=1,1,0)</x:f>
        <x:v>0</x:v>
      </x:c>
      <x:c r="J186" s="2" t="n">
        <x:f>IF(COUNTIFS('Detalle'!$A$7:$A$923,A186,'Detalle'!$B$7:$B$923,"Gaseosas")&gt;0,1,0)</x:f>
        <x:v>1</x:v>
      </x:c>
    </x:row>
    <x:row r="187" ht="23" customHeight="1">
      <x:c r="A187" s="2" t="str">
        <x:v>SIM-202605-033</x:v>
      </x:c>
      <x:c r="B187" s="8" t="n">
        <x:v>46168</x:v>
      </x:c>
      <x:c r="C187" s="9" t="n">
        <x:v>0.8159722222222222</x:v>
      </x:c>
      <x:c r="D187" s="2" t="n">
        <x:v>1</x:v>
      </x:c>
      <x:c r="E187" s="10" t="n">
        <x:v>15000</x:v>
      </x:c>
      <x:c r="F187" s="20" t="str">
        <x:v>Simulado</x:v>
      </x:c>
      <x:c r="G187" s="11" t="n">
        <x:f>DATE(YEAR(B187),MONTH(B187),1)</x:f>
        <x:v>46143</x:v>
      </x:c>
      <x:c r="H187" s="2" t="n">
        <x:f>WEEKDAY(B187,2)</x:f>
        <x:v>2</x:v>
      </x:c>
      <x:c r="I187" s="2" t="n">
        <x:f>IF(COUNTIFS($B$7:B187,B187)=1,1,0)</x:f>
        <x:v>0</x:v>
      </x:c>
      <x:c r="J187" s="2" t="n">
        <x:f>IF(COUNTIFS('Detalle'!$A$7:$A$923,A187,'Detalle'!$B$7:$B$923,"Gaseosas")&gt;0,1,0)</x:f>
        <x:v>0</x:v>
      </x:c>
    </x:row>
    <x:row r="188" ht="23" customHeight="1">
      <x:c r="A188" s="2" t="str">
        <x:v>SIM-202605-034</x:v>
      </x:c>
      <x:c r="B188" s="8" t="n">
        <x:v>46170</x:v>
      </x:c>
      <x:c r="C188" s="9" t="n">
        <x:v>0.8277777777777777</x:v>
      </x:c>
      <x:c r="D188" s="2" t="n">
        <x:v>3</x:v>
      </x:c>
      <x:c r="E188" s="10" t="n">
        <x:v>50000</x:v>
      </x:c>
      <x:c r="F188" s="20" t="str">
        <x:v>Simulado</x:v>
      </x:c>
      <x:c r="G188" s="11" t="n">
        <x:f>DATE(YEAR(B188),MONTH(B188),1)</x:f>
        <x:v>46143</x:v>
      </x:c>
      <x:c r="H188" s="2" t="n">
        <x:f>WEEKDAY(B188,2)</x:f>
        <x:v>4</x:v>
      </x:c>
      <x:c r="I188" s="2" t="n">
        <x:f>IF(COUNTIFS($B$7:B188,B188)=1,1,0)</x:f>
        <x:v>1</x:v>
      </x:c>
      <x:c r="J188" s="2" t="n">
        <x:f>IF(COUNTIFS('Detalle'!$A$7:$A$923,A188,'Detalle'!$B$7:$B$923,"Gaseosas")&gt;0,1,0)</x:f>
        <x:v>1</x:v>
      </x:c>
    </x:row>
    <x:row r="189" ht="23" customHeight="1">
      <x:c r="A189" s="2" t="str">
        <x:v>SIM-202605-035</x:v>
      </x:c>
      <x:c r="B189" s="8" t="n">
        <x:v>46170</x:v>
      </x:c>
      <x:c r="C189" s="9" t="n">
        <x:v>0.8493055555555555</x:v>
      </x:c>
      <x:c r="D189" s="2" t="n">
        <x:v>3</x:v>
      </x:c>
      <x:c r="E189" s="10" t="n">
        <x:v>18000</x:v>
      </x:c>
      <x:c r="F189" s="20" t="str">
        <x:v>Simulado</x:v>
      </x:c>
      <x:c r="G189" s="11" t="n">
        <x:f>DATE(YEAR(B189),MONTH(B189),1)</x:f>
        <x:v>46143</x:v>
      </x:c>
      <x:c r="H189" s="2" t="n">
        <x:f>WEEKDAY(B189,2)</x:f>
        <x:v>4</x:v>
      </x:c>
      <x:c r="I189" s="2" t="n">
        <x:f>IF(COUNTIFS($B$7:B189,B189)=1,1,0)</x:f>
        <x:v>0</x:v>
      </x:c>
      <x:c r="J189" s="2" t="n">
        <x:f>IF(COUNTIFS('Detalle'!$A$7:$A$923,A189,'Detalle'!$B$7:$B$923,"Gaseosas")&gt;0,1,0)</x:f>
        <x:v>1</x:v>
      </x:c>
    </x:row>
    <x:row r="190" ht="23" customHeight="1">
      <x:c r="A190" s="2" t="str">
        <x:v>SIM-202605-036</x:v>
      </x:c>
      <x:c r="B190" s="8" t="n">
        <x:v>46170</x:v>
      </x:c>
      <x:c r="C190" s="9" t="n">
        <x:v>0.9152777777777777</x:v>
      </x:c>
      <x:c r="D190" s="2" t="n">
        <x:v>1</x:v>
      </x:c>
      <x:c r="E190" s="10" t="n">
        <x:v>25000</x:v>
      </x:c>
      <x:c r="F190" s="20" t="str">
        <x:v>Simulado</x:v>
      </x:c>
      <x:c r="G190" s="11" t="n">
        <x:f>DATE(YEAR(B190),MONTH(B190),1)</x:f>
        <x:v>46143</x:v>
      </x:c>
      <x:c r="H190" s="2" t="n">
        <x:f>WEEKDAY(B190,2)</x:f>
        <x:v>4</x:v>
      </x:c>
      <x:c r="I190" s="2" t="n">
        <x:f>IF(COUNTIFS($B$7:B190,B190)=1,1,0)</x:f>
        <x:v>0</x:v>
      </x:c>
      <x:c r="J190" s="2" t="n">
        <x:f>IF(COUNTIFS('Detalle'!$A$7:$A$923,A190,'Detalle'!$B$7:$B$923,"Gaseosas")&gt;0,1,0)</x:f>
        <x:v>1</x:v>
      </x:c>
    </x:row>
    <x:row r="191" ht="23" customHeight="1">
      <x:c r="A191" s="2" t="str">
        <x:v>SIM-202605-037</x:v>
      </x:c>
      <x:c r="B191" s="8" t="n">
        <x:v>46171</x:v>
      </x:c>
      <x:c r="C191" s="9" t="n">
        <x:v>0.8527777777777777</x:v>
      </x:c>
      <x:c r="D191" s="2" t="n">
        <x:v>2</x:v>
      </x:c>
      <x:c r="E191" s="10" t="n">
        <x:v>20000</x:v>
      </x:c>
      <x:c r="F191" s="20" t="str">
        <x:v>Simulado</x:v>
      </x:c>
      <x:c r="G191" s="11" t="n">
        <x:f>DATE(YEAR(B191),MONTH(B191),1)</x:f>
        <x:v>46143</x:v>
      </x:c>
      <x:c r="H191" s="2" t="n">
        <x:f>WEEKDAY(B191,2)</x:f>
        <x:v>5</x:v>
      </x:c>
      <x:c r="I191" s="2" t="n">
        <x:f>IF(COUNTIFS($B$7:B191,B191)=1,1,0)</x:f>
        <x:v>1</x:v>
      </x:c>
      <x:c r="J191" s="2" t="n">
        <x:f>IF(COUNTIFS('Detalle'!$A$7:$A$923,A191,'Detalle'!$B$7:$B$923,"Gaseosas")&gt;0,1,0)</x:f>
        <x:v>1</x:v>
      </x:c>
    </x:row>
    <x:row r="192" ht="23" customHeight="1">
      <x:c r="A192" s="2" t="str">
        <x:v>SIM-202605-038</x:v>
      </x:c>
      <x:c r="B192" s="8" t="n">
        <x:v>46171</x:v>
      </x:c>
      <x:c r="C192" s="9" t="n">
        <x:v>0.8736111111111111</x:v>
      </x:c>
      <x:c r="D192" s="2" t="n">
        <x:v>2</x:v>
      </x:c>
      <x:c r="E192" s="10" t="n">
        <x:v>33000</x:v>
      </x:c>
      <x:c r="F192" s="20" t="str">
        <x:v>Simulado</x:v>
      </x:c>
      <x:c r="G192" s="11" t="n">
        <x:f>DATE(YEAR(B192),MONTH(B192),1)</x:f>
        <x:v>46143</x:v>
      </x:c>
      <x:c r="H192" s="2" t="n">
        <x:f>WEEKDAY(B192,2)</x:f>
        <x:v>5</x:v>
      </x:c>
      <x:c r="I192" s="2" t="n">
        <x:f>IF(COUNTIFS($B$7:B192,B192)=1,1,0)</x:f>
        <x:v>0</x:v>
      </x:c>
      <x:c r="J192" s="2" t="n">
        <x:f>IF(COUNTIFS('Detalle'!$A$7:$A$923,A192,'Detalle'!$B$7:$B$923,"Gaseosas")&gt;0,1,0)</x:f>
        <x:v>1</x:v>
      </x:c>
    </x:row>
    <x:row r="193" ht="23" customHeight="1">
      <x:c r="A193" s="2" t="str">
        <x:v>SIM-202605-039</x:v>
      </x:c>
      <x:c r="B193" s="8" t="n">
        <x:v>46172</x:v>
      </x:c>
      <x:c r="C193" s="9" t="n">
        <x:v>0.7666666666666667</x:v>
      </x:c>
      <x:c r="D193" s="2" t="n">
        <x:v>3</x:v>
      </x:c>
      <x:c r="E193" s="10" t="n">
        <x:v>51000</x:v>
      </x:c>
      <x:c r="F193" s="20" t="str">
        <x:v>Simulado</x:v>
      </x:c>
      <x:c r="G193" s="11" t="n">
        <x:f>DATE(YEAR(B193),MONTH(B193),1)</x:f>
        <x:v>46143</x:v>
      </x:c>
      <x:c r="H193" s="2" t="n">
        <x:f>WEEKDAY(B193,2)</x:f>
        <x:v>6</x:v>
      </x:c>
      <x:c r="I193" s="2" t="n">
        <x:f>IF(COUNTIFS($B$7:B193,B193)=1,1,0)</x:f>
        <x:v>1</x:v>
      </x:c>
      <x:c r="J193" s="2" t="n">
        <x:f>IF(COUNTIFS('Detalle'!$A$7:$A$923,A193,'Detalle'!$B$7:$B$923,"Gaseosas")&gt;0,1,0)</x:f>
        <x:v>1</x:v>
      </x:c>
    </x:row>
    <x:row r="194" ht="23" customHeight="1">
      <x:c r="A194" s="2" t="str">
        <x:v>SIM-202605-040</x:v>
      </x:c>
      <x:c r="B194" s="8" t="n">
        <x:v>46172</x:v>
      </x:c>
      <x:c r="C194" s="9" t="n">
        <x:v>0.8090277777777778</x:v>
      </x:c>
      <x:c r="D194" s="2" t="n">
        <x:v>2</x:v>
      </x:c>
      <x:c r="E194" s="10" t="n">
        <x:v>20000</x:v>
      </x:c>
      <x:c r="F194" s="20" t="str">
        <x:v>Simulado</x:v>
      </x:c>
      <x:c r="G194" s="11" t="n">
        <x:f>DATE(YEAR(B194),MONTH(B194),1)</x:f>
        <x:v>46143</x:v>
      </x:c>
      <x:c r="H194" s="2" t="n">
        <x:f>WEEKDAY(B194,2)</x:f>
        <x:v>6</x:v>
      </x:c>
      <x:c r="I194" s="2" t="n">
        <x:f>IF(COUNTIFS($B$7:B194,B194)=1,1,0)</x:f>
        <x:v>0</x:v>
      </x:c>
      <x:c r="J194" s="2" t="n">
        <x:f>IF(COUNTIFS('Detalle'!$A$7:$A$923,A194,'Detalle'!$B$7:$B$923,"Gaseosas")&gt;0,1,0)</x:f>
        <x:v>1</x:v>
      </x:c>
    </x:row>
    <x:row r="195" ht="23" customHeight="1">
      <x:c r="A195" s="2" t="str">
        <x:v>SIM-202605-041</x:v>
      </x:c>
      <x:c r="B195" s="8" t="n">
        <x:v>46173</x:v>
      </x:c>
      <x:c r="C195" s="9" t="n">
        <x:v>0.7513888888888889</x:v>
      </x:c>
      <x:c r="D195" s="2" t="n">
        <x:v>1</x:v>
      </x:c>
      <x:c r="E195" s="10" t="n">
        <x:v>70000</x:v>
      </x:c>
      <x:c r="F195" s="20" t="str">
        <x:v>Simulado</x:v>
      </x:c>
      <x:c r="G195" s="11" t="n">
        <x:f>DATE(YEAR(B195),MONTH(B195),1)</x:f>
        <x:v>46143</x:v>
      </x:c>
      <x:c r="H195" s="2" t="n">
        <x:f>WEEKDAY(B195,2)</x:f>
        <x:v>7</x:v>
      </x:c>
      <x:c r="I195" s="2" t="n">
        <x:f>IF(COUNTIFS($B$7:B195,B195)=1,1,0)</x:f>
        <x:v>1</x:v>
      </x:c>
      <x:c r="J195" s="2" t="n">
        <x:f>IF(COUNTIFS('Detalle'!$A$7:$A$923,A195,'Detalle'!$B$7:$B$923,"Gaseosas")&gt;0,1,0)</x:f>
        <x:v>1</x:v>
      </x:c>
    </x:row>
    <x:row r="196" ht="23" customHeight="1">
      <x:c r="A196" s="2" t="str">
        <x:v>SIM-202605-042</x:v>
      </x:c>
      <x:c r="B196" s="8" t="n">
        <x:v>46173</x:v>
      </x:c>
      <x:c r="C196" s="9" t="n">
        <x:v>0.7701388888888889</x:v>
      </x:c>
      <x:c r="D196" s="2" t="n">
        <x:v>4</x:v>
      </x:c>
      <x:c r="E196" s="10" t="n">
        <x:v>40000</x:v>
      </x:c>
      <x:c r="F196" s="20" t="str">
        <x:v>Simulado</x:v>
      </x:c>
      <x:c r="G196" s="11" t="n">
        <x:f>DATE(YEAR(B196),MONTH(B196),1)</x:f>
        <x:v>46143</x:v>
      </x:c>
      <x:c r="H196" s="2" t="n">
        <x:f>WEEKDAY(B196,2)</x:f>
        <x:v>7</x:v>
      </x:c>
      <x:c r="I196" s="2" t="n">
        <x:f>IF(COUNTIFS($B$7:B196,B196)=1,1,0)</x:f>
        <x:v>0</x:v>
      </x:c>
      <x:c r="J196" s="2" t="n">
        <x:f>IF(COUNTIFS('Detalle'!$A$7:$A$923,A196,'Detalle'!$B$7:$B$923,"Gaseosas")&gt;0,1,0)</x:f>
        <x:v>1</x:v>
      </x:c>
    </x:row>
    <x:row r="197" ht="23" customHeight="1">
      <x:c r="A197" s="2" t="str">
        <x:v>SIM-202605-043</x:v>
      </x:c>
      <x:c r="B197" s="8" t="n">
        <x:v>46173</x:v>
      </x:c>
      <x:c r="C197" s="9" t="n">
        <x:v>0.8201388888888889</x:v>
      </x:c>
      <x:c r="D197" s="2" t="n">
        <x:v>2</x:v>
      </x:c>
      <x:c r="E197" s="10" t="n">
        <x:v>74000</x:v>
      </x:c>
      <x:c r="F197" s="20" t="str">
        <x:v>Simulado</x:v>
      </x:c>
      <x:c r="G197" s="11" t="n">
        <x:f>DATE(YEAR(B197),MONTH(B197),1)</x:f>
        <x:v>46143</x:v>
      </x:c>
      <x:c r="H197" s="2" t="n">
        <x:f>WEEKDAY(B197,2)</x:f>
        <x:v>7</x:v>
      </x:c>
      <x:c r="I197" s="2" t="n">
        <x:f>IF(COUNTIFS($B$7:B197,B197)=1,1,0)</x:f>
        <x:v>0</x:v>
      </x:c>
      <x:c r="J197" s="2" t="n">
        <x:f>IF(COUNTIFS('Detalle'!$A$7:$A$923,A197,'Detalle'!$B$7:$B$923,"Gaseosas")&gt;0,1,0)</x:f>
        <x:v>1</x:v>
      </x:c>
    </x:row>
    <x:row r="198" ht="23" customHeight="1">
      <x:c r="A198" s="2" t="str">
        <x:v>SIM-202605-044</x:v>
      </x:c>
      <x:c r="B198" s="8" t="n">
        <x:v>46173</x:v>
      </x:c>
      <x:c r="C198" s="9" t="n">
        <x:v>0.8347222222222223</x:v>
      </x:c>
      <x:c r="D198" s="2" t="n">
        <x:v>3</x:v>
      </x:c>
      <x:c r="E198" s="10" t="n">
        <x:v>25000</x:v>
      </x:c>
      <x:c r="F198" s="20" t="str">
        <x:v>Simulado</x:v>
      </x:c>
      <x:c r="G198" s="11" t="n">
        <x:f>DATE(YEAR(B198),MONTH(B198),1)</x:f>
        <x:v>46143</x:v>
      </x:c>
      <x:c r="H198" s="2" t="n">
        <x:f>WEEKDAY(B198,2)</x:f>
        <x:v>7</x:v>
      </x:c>
      <x:c r="I198" s="2" t="n">
        <x:f>IF(COUNTIFS($B$7:B198,B198)=1,1,0)</x:f>
        <x:v>0</x:v>
      </x:c>
      <x:c r="J198" s="2" t="n">
        <x:f>IF(COUNTIFS('Detalle'!$A$7:$A$923,A198,'Detalle'!$B$7:$B$923,"Gaseosas")&gt;0,1,0)</x:f>
        <x:v>1</x:v>
      </x:c>
    </x:row>
    <x:row r="199" ht="23" customHeight="1">
      <x:c r="A199" s="2" t="str">
        <x:v>SIM-202606-001</x:v>
      </x:c>
      <x:c r="B199" s="8" t="n">
        <x:v>46175</x:v>
      </x:c>
      <x:c r="C199" s="9" t="n">
        <x:v>0.8909722222222223</x:v>
      </x:c>
      <x:c r="D199" s="2" t="n">
        <x:v>2</x:v>
      </x:c>
      <x:c r="E199" s="10" t="n">
        <x:v>25000</x:v>
      </x:c>
      <x:c r="F199" s="20" t="str">
        <x:v>Simulado</x:v>
      </x:c>
      <x:c r="G199" s="11" t="n">
        <x:f>DATE(YEAR(B199),MONTH(B199),1)</x:f>
        <x:v>46174</x:v>
      </x:c>
      <x:c r="H199" s="2" t="n">
        <x:f>WEEKDAY(B199,2)</x:f>
        <x:v>2</x:v>
      </x:c>
      <x:c r="I199" s="2" t="n">
        <x:f>IF(COUNTIFS($B$7:B199,B199)=1,1,0)</x:f>
        <x:v>1</x:v>
      </x:c>
      <x:c r="J199" s="2" t="n">
        <x:f>IF(COUNTIFS('Detalle'!$A$7:$A$923,A199,'Detalle'!$B$7:$B$923,"Gaseosas")&gt;0,1,0)</x:f>
        <x:v>1</x:v>
      </x:c>
    </x:row>
    <x:row r="200" ht="23" customHeight="1">
      <x:c r="A200" s="2" t="str">
        <x:v>SIM-202606-002</x:v>
      </x:c>
      <x:c r="B200" s="8" t="n">
        <x:v>46177</x:v>
      </x:c>
      <x:c r="C200" s="9" t="n">
        <x:v>0.7590277777777777</x:v>
      </x:c>
      <x:c r="D200" s="2" t="n">
        <x:v>1</x:v>
      </x:c>
      <x:c r="E200" s="10" t="n">
        <x:v>45000</x:v>
      </x:c>
      <x:c r="F200" s="20" t="str">
        <x:v>Simulado</x:v>
      </x:c>
      <x:c r="G200" s="11" t="n">
        <x:f>DATE(YEAR(B200),MONTH(B200),1)</x:f>
        <x:v>46174</x:v>
      </x:c>
      <x:c r="H200" s="2" t="n">
        <x:f>WEEKDAY(B200,2)</x:f>
        <x:v>4</x:v>
      </x:c>
      <x:c r="I200" s="2" t="n">
        <x:f>IF(COUNTIFS($B$7:B200,B200)=1,1,0)</x:f>
        <x:v>1</x:v>
      </x:c>
      <x:c r="J200" s="2" t="n">
        <x:f>IF(COUNTIFS('Detalle'!$A$7:$A$923,A200,'Detalle'!$B$7:$B$923,"Gaseosas")&gt;0,1,0)</x:f>
        <x:v>1</x:v>
      </x:c>
    </x:row>
    <x:row r="201" ht="23" customHeight="1">
      <x:c r="A201" s="2" t="str">
        <x:v>SIM-202606-003</x:v>
      </x:c>
      <x:c r="B201" s="8" t="n">
        <x:v>46177</x:v>
      </x:c>
      <x:c r="C201" s="9" t="n">
        <x:v>0.8680555555555556</x:v>
      </x:c>
      <x:c r="D201" s="2" t="n">
        <x:v>1</x:v>
      </x:c>
      <x:c r="E201" s="10" t="n">
        <x:v>44000</x:v>
      </x:c>
      <x:c r="F201" s="20" t="str">
        <x:v>Simulado</x:v>
      </x:c>
      <x:c r="G201" s="11" t="n">
        <x:f>DATE(YEAR(B201),MONTH(B201),1)</x:f>
        <x:v>46174</x:v>
      </x:c>
      <x:c r="H201" s="2" t="n">
        <x:f>WEEKDAY(B201,2)</x:f>
        <x:v>4</x:v>
      </x:c>
      <x:c r="I201" s="2" t="n">
        <x:f>IF(COUNTIFS($B$7:B201,B201)=1,1,0)</x:f>
        <x:v>0</x:v>
      </x:c>
      <x:c r="J201" s="2" t="n">
        <x:f>IF(COUNTIFS('Detalle'!$A$7:$A$923,A201,'Detalle'!$B$7:$B$923,"Gaseosas")&gt;0,1,0)</x:f>
        <x:v>1</x:v>
      </x:c>
    </x:row>
    <x:row r="202" ht="23" customHeight="1">
      <x:c r="A202" s="2" t="str">
        <x:v>SIM-202606-004</x:v>
      </x:c>
      <x:c r="B202" s="8" t="n">
        <x:v>46177</x:v>
      </x:c>
      <x:c r="C202" s="9" t="n">
        <x:v>0.9097222222222222</x:v>
      </x:c>
      <x:c r="D202" s="2" t="n">
        <x:v>1</x:v>
      </x:c>
      <x:c r="E202" s="10" t="n">
        <x:v>32000</x:v>
      </x:c>
      <x:c r="F202" s="20" t="str">
        <x:v>Simulado</x:v>
      </x:c>
      <x:c r="G202" s="11" t="n">
        <x:f>DATE(YEAR(B202),MONTH(B202),1)</x:f>
        <x:v>46174</x:v>
      </x:c>
      <x:c r="H202" s="2" t="n">
        <x:f>WEEKDAY(B202,2)</x:f>
        <x:v>4</x:v>
      </x:c>
      <x:c r="I202" s="2" t="n">
        <x:f>IF(COUNTIFS($B$7:B202,B202)=1,1,0)</x:f>
        <x:v>0</x:v>
      </x:c>
      <x:c r="J202" s="2" t="n">
        <x:f>IF(COUNTIFS('Detalle'!$A$7:$A$923,A202,'Detalle'!$B$7:$B$923,"Gaseosas")&gt;0,1,0)</x:f>
        <x:v>1</x:v>
      </x:c>
    </x:row>
    <x:row r="203" ht="23" customHeight="1">
      <x:c r="A203" s="2" t="str">
        <x:v>SIM-202606-005</x:v>
      </x:c>
      <x:c r="B203" s="8" t="n">
        <x:v>46178</x:v>
      </x:c>
      <x:c r="C203" s="9" t="n">
        <x:v>0.75</x:v>
      </x:c>
      <x:c r="D203" s="2" t="n">
        <x:v>4</x:v>
      </x:c>
      <x:c r="E203" s="10" t="n">
        <x:v>20000</x:v>
      </x:c>
      <x:c r="F203" s="20" t="str">
        <x:v>Simulado</x:v>
      </x:c>
      <x:c r="G203" s="11" t="n">
        <x:f>DATE(YEAR(B203),MONTH(B203),1)</x:f>
        <x:v>46174</x:v>
      </x:c>
      <x:c r="H203" s="2" t="n">
        <x:f>WEEKDAY(B203,2)</x:f>
        <x:v>5</x:v>
      </x:c>
      <x:c r="I203" s="2" t="n">
        <x:f>IF(COUNTIFS($B$7:B203,B203)=1,1,0)</x:f>
        <x:v>1</x:v>
      </x:c>
      <x:c r="J203" s="2" t="n">
        <x:f>IF(COUNTIFS('Detalle'!$A$7:$A$923,A203,'Detalle'!$B$7:$B$923,"Gaseosas")&gt;0,1,0)</x:f>
        <x:v>1</x:v>
      </x:c>
    </x:row>
    <x:row r="204" ht="23" customHeight="1">
      <x:c r="A204" s="2" t="str">
        <x:v>SIM-202606-006</x:v>
      </x:c>
      <x:c r="B204" s="8" t="n">
        <x:v>46178</x:v>
      </x:c>
      <x:c r="C204" s="9" t="n">
        <x:v>0.7763888888888889</x:v>
      </x:c>
      <x:c r="D204" s="2" t="n">
        <x:v>4</x:v>
      </x:c>
      <x:c r="E204" s="10" t="n">
        <x:v>37000</x:v>
      </x:c>
      <x:c r="F204" s="20" t="str">
        <x:v>Simulado</x:v>
      </x:c>
      <x:c r="G204" s="11" t="n">
        <x:f>DATE(YEAR(B204),MONTH(B204),1)</x:f>
        <x:v>46174</x:v>
      </x:c>
      <x:c r="H204" s="2" t="n">
        <x:f>WEEKDAY(B204,2)</x:f>
        <x:v>5</x:v>
      </x:c>
      <x:c r="I204" s="2" t="n">
        <x:f>IF(COUNTIFS($B$7:B204,B204)=1,1,0)</x:f>
        <x:v>0</x:v>
      </x:c>
      <x:c r="J204" s="2" t="n">
        <x:f>IF(COUNTIFS('Detalle'!$A$7:$A$923,A204,'Detalle'!$B$7:$B$923,"Gaseosas")&gt;0,1,0)</x:f>
        <x:v>1</x:v>
      </x:c>
    </x:row>
    <x:row r="205" ht="23" customHeight="1">
      <x:c r="A205" s="2" t="str">
        <x:v>SIM-202606-007</x:v>
      </x:c>
      <x:c r="B205" s="8" t="n">
        <x:v>46178</x:v>
      </x:c>
      <x:c r="C205" s="9" t="n">
        <x:v>0.8659722222222223</x:v>
      </x:c>
      <x:c r="D205" s="2" t="n">
        <x:v>3</x:v>
      </x:c>
      <x:c r="E205" s="10" t="n">
        <x:v>30000</x:v>
      </x:c>
      <x:c r="F205" s="20" t="str">
        <x:v>Simulado</x:v>
      </x:c>
      <x:c r="G205" s="11" t="n">
        <x:f>DATE(YEAR(B205),MONTH(B205),1)</x:f>
        <x:v>46174</x:v>
      </x:c>
      <x:c r="H205" s="2" t="n">
        <x:f>WEEKDAY(B205,2)</x:f>
        <x:v>5</x:v>
      </x:c>
      <x:c r="I205" s="2" t="n">
        <x:f>IF(COUNTIFS($B$7:B205,B205)=1,1,0)</x:f>
        <x:v>0</x:v>
      </x:c>
      <x:c r="J205" s="2" t="n">
        <x:f>IF(COUNTIFS('Detalle'!$A$7:$A$923,A205,'Detalle'!$B$7:$B$923,"Gaseosas")&gt;0,1,0)</x:f>
        <x:v>1</x:v>
      </x:c>
    </x:row>
    <x:row r="206" ht="23" customHeight="1">
      <x:c r="A206" s="2" t="str">
        <x:v>SIM-202606-008</x:v>
      </x:c>
      <x:c r="B206" s="8" t="n">
        <x:v>46179</x:v>
      </x:c>
      <x:c r="C206" s="9" t="n">
        <x:v>0.7368055555555556</x:v>
      </x:c>
      <x:c r="D206" s="2" t="n">
        <x:v>3</x:v>
      </x:c>
      <x:c r="E206" s="10" t="n">
        <x:v>20000</x:v>
      </x:c>
      <x:c r="F206" s="20" t="str">
        <x:v>Simulado</x:v>
      </x:c>
      <x:c r="G206" s="11" t="n">
        <x:f>DATE(YEAR(B206),MONTH(B206),1)</x:f>
        <x:v>46174</x:v>
      </x:c>
      <x:c r="H206" s="2" t="n">
        <x:f>WEEKDAY(B206,2)</x:f>
        <x:v>6</x:v>
      </x:c>
      <x:c r="I206" s="2" t="n">
        <x:f>IF(COUNTIFS($B$7:B206,B206)=1,1,0)</x:f>
        <x:v>1</x:v>
      </x:c>
      <x:c r="J206" s="2" t="n">
        <x:f>IF(COUNTIFS('Detalle'!$A$7:$A$923,A206,'Detalle'!$B$7:$B$923,"Gaseosas")&gt;0,1,0)</x:f>
        <x:v>1</x:v>
      </x:c>
    </x:row>
    <x:row r="207" ht="23" customHeight="1">
      <x:c r="A207" s="2" t="str">
        <x:v>SIM-202606-009</x:v>
      </x:c>
      <x:c r="B207" s="8" t="n">
        <x:v>46179</x:v>
      </x:c>
      <x:c r="C207" s="9" t="n">
        <x:v>0.7576388888888889</x:v>
      </x:c>
      <x:c r="D207" s="2" t="n">
        <x:v>4</x:v>
      </x:c>
      <x:c r="E207" s="10" t="n">
        <x:v>63000</x:v>
      </x:c>
      <x:c r="F207" s="20" t="str">
        <x:v>Simulado</x:v>
      </x:c>
      <x:c r="G207" s="11" t="n">
        <x:f>DATE(YEAR(B207),MONTH(B207),1)</x:f>
        <x:v>46174</x:v>
      </x:c>
      <x:c r="H207" s="2" t="n">
        <x:f>WEEKDAY(B207,2)</x:f>
        <x:v>6</x:v>
      </x:c>
      <x:c r="I207" s="2" t="n">
        <x:f>IF(COUNTIFS($B$7:B207,B207)=1,1,0)</x:f>
        <x:v>0</x:v>
      </x:c>
      <x:c r="J207" s="2" t="n">
        <x:f>IF(COUNTIFS('Detalle'!$A$7:$A$923,A207,'Detalle'!$B$7:$B$923,"Gaseosas")&gt;0,1,0)</x:f>
        <x:v>1</x:v>
      </x:c>
    </x:row>
    <x:row r="208" ht="23" customHeight="1">
      <x:c r="A208" s="2" t="str">
        <x:v>SIM-202606-010</x:v>
      </x:c>
      <x:c r="B208" s="8" t="n">
        <x:v>46179</x:v>
      </x:c>
      <x:c r="C208" s="9" t="n">
        <x:v>0.7805555555555556</x:v>
      </x:c>
      <x:c r="D208" s="2" t="n">
        <x:v>2</x:v>
      </x:c>
      <x:c r="E208" s="10" t="n">
        <x:v>83000</x:v>
      </x:c>
      <x:c r="F208" s="20" t="str">
        <x:v>Simulado</x:v>
      </x:c>
      <x:c r="G208" s="11" t="n">
        <x:f>DATE(YEAR(B208),MONTH(B208),1)</x:f>
        <x:v>46174</x:v>
      </x:c>
      <x:c r="H208" s="2" t="n">
        <x:f>WEEKDAY(B208,2)</x:f>
        <x:v>6</x:v>
      </x:c>
      <x:c r="I208" s="2" t="n">
        <x:f>IF(COUNTIFS($B$7:B208,B208)=1,1,0)</x:f>
        <x:v>0</x:v>
      </x:c>
      <x:c r="J208" s="2" t="n">
        <x:f>IF(COUNTIFS('Detalle'!$A$7:$A$923,A208,'Detalle'!$B$7:$B$923,"Gaseosas")&gt;0,1,0)</x:f>
        <x:v>1</x:v>
      </x:c>
    </x:row>
    <x:row r="209" ht="23" customHeight="1">
      <x:c r="A209" s="2" t="str">
        <x:v>SIM-202606-011</x:v>
      </x:c>
      <x:c r="B209" s="8" t="n">
        <x:v>46179</x:v>
      </x:c>
      <x:c r="C209" s="9" t="n">
        <x:v>0.8736111111111111</x:v>
      </x:c>
      <x:c r="D209" s="2" t="n">
        <x:v>2</x:v>
      </x:c>
      <x:c r="E209" s="10" t="n">
        <x:v>20000</x:v>
      </x:c>
      <x:c r="F209" s="20" t="str">
        <x:v>Simulado</x:v>
      </x:c>
      <x:c r="G209" s="11" t="n">
        <x:f>DATE(YEAR(B209),MONTH(B209),1)</x:f>
        <x:v>46174</x:v>
      </x:c>
      <x:c r="H209" s="2" t="n">
        <x:f>WEEKDAY(B209,2)</x:f>
        <x:v>6</x:v>
      </x:c>
      <x:c r="I209" s="2" t="n">
        <x:f>IF(COUNTIFS($B$7:B209,B209)=1,1,0)</x:f>
        <x:v>0</x:v>
      </x:c>
      <x:c r="J209" s="2" t="n">
        <x:f>IF(COUNTIFS('Detalle'!$A$7:$A$923,A209,'Detalle'!$B$7:$B$923,"Gaseosas")&gt;0,1,0)</x:f>
        <x:v>1</x:v>
      </x:c>
    </x:row>
    <x:row r="210" ht="23" customHeight="1">
      <x:c r="A210" s="2" t="str">
        <x:v>SIM-202606-012</x:v>
      </x:c>
      <x:c r="B210" s="8" t="n">
        <x:v>46180</x:v>
      </x:c>
      <x:c r="C210" s="9" t="n">
        <x:v>0.7583333333333333</x:v>
      </x:c>
      <x:c r="D210" s="2" t="n">
        <x:v>4</x:v>
      </x:c>
      <x:c r="E210" s="10" t="n">
        <x:v>38000</x:v>
      </x:c>
      <x:c r="F210" s="20" t="str">
        <x:v>Simulado</x:v>
      </x:c>
      <x:c r="G210" s="11" t="n">
        <x:f>DATE(YEAR(B210),MONTH(B210),1)</x:f>
        <x:v>46174</x:v>
      </x:c>
      <x:c r="H210" s="2" t="n">
        <x:f>WEEKDAY(B210,2)</x:f>
        <x:v>7</x:v>
      </x:c>
      <x:c r="I210" s="2" t="n">
        <x:f>IF(COUNTIFS($B$7:B210,B210)=1,1,0)</x:f>
        <x:v>1</x:v>
      </x:c>
      <x:c r="J210" s="2" t="n">
        <x:f>IF(COUNTIFS('Detalle'!$A$7:$A$923,A210,'Detalle'!$B$7:$B$923,"Gaseosas")&gt;0,1,0)</x:f>
        <x:v>1</x:v>
      </x:c>
    </x:row>
    <x:row r="211" ht="23" customHeight="1">
      <x:c r="A211" s="2" t="str">
        <x:v>SIM-202606-013</x:v>
      </x:c>
      <x:c r="B211" s="8" t="n">
        <x:v>46180</x:v>
      </x:c>
      <x:c r="C211" s="9" t="n">
        <x:v>0.7722222222222223</x:v>
      </x:c>
      <x:c r="D211" s="2" t="n">
        <x:v>4</x:v>
      </x:c>
      <x:c r="E211" s="10" t="n">
        <x:v>62000</x:v>
      </x:c>
      <x:c r="F211" s="20" t="str">
        <x:v>Simulado</x:v>
      </x:c>
      <x:c r="G211" s="11" t="n">
        <x:f>DATE(YEAR(B211),MONTH(B211),1)</x:f>
        <x:v>46174</x:v>
      </x:c>
      <x:c r="H211" s="2" t="n">
        <x:f>WEEKDAY(B211,2)</x:f>
        <x:v>7</x:v>
      </x:c>
      <x:c r="I211" s="2" t="n">
        <x:f>IF(COUNTIFS($B$7:B211,B211)=1,1,0)</x:f>
        <x:v>0</x:v>
      </x:c>
      <x:c r="J211" s="2" t="n">
        <x:f>IF(COUNTIFS('Detalle'!$A$7:$A$923,A211,'Detalle'!$B$7:$B$923,"Gaseosas")&gt;0,1,0)</x:f>
        <x:v>1</x:v>
      </x:c>
    </x:row>
    <x:row r="212" ht="23" customHeight="1">
      <x:c r="A212" s="2" t="str">
        <x:v>SIM-202606-014</x:v>
      </x:c>
      <x:c r="B212" s="8" t="n">
        <x:v>46182</x:v>
      </x:c>
      <x:c r="C212" s="9" t="n">
        <x:v>0.7416666666666667</x:v>
      </x:c>
      <x:c r="D212" s="2" t="n">
        <x:v>4</x:v>
      </x:c>
      <x:c r="E212" s="10" t="n">
        <x:v>17000</x:v>
      </x:c>
      <x:c r="F212" s="20" t="str">
        <x:v>Simulado</x:v>
      </x:c>
      <x:c r="G212" s="11" t="n">
        <x:f>DATE(YEAR(B212),MONTH(B212),1)</x:f>
        <x:v>46174</x:v>
      </x:c>
      <x:c r="H212" s="2" t="n">
        <x:f>WEEKDAY(B212,2)</x:f>
        <x:v>2</x:v>
      </x:c>
      <x:c r="I212" s="2" t="n">
        <x:f>IF(COUNTIFS($B$7:B212,B212)=1,1,0)</x:f>
        <x:v>1</x:v>
      </x:c>
      <x:c r="J212" s="2" t="n">
        <x:f>IF(COUNTIFS('Detalle'!$A$7:$A$923,A212,'Detalle'!$B$7:$B$923,"Gaseosas")&gt;0,1,0)</x:f>
        <x:v>1</x:v>
      </x:c>
    </x:row>
    <x:row r="213" ht="23" customHeight="1">
      <x:c r="A213" s="2" t="str">
        <x:v>SIM-202606-015</x:v>
      </x:c>
      <x:c r="B213" s="8" t="n">
        <x:v>46182</x:v>
      </x:c>
      <x:c r="C213" s="9" t="n">
        <x:v>0.7611111111111111</x:v>
      </x:c>
      <x:c r="D213" s="2" t="n">
        <x:v>3</x:v>
      </x:c>
      <x:c r="E213" s="10" t="n">
        <x:v>18000</x:v>
      </x:c>
      <x:c r="F213" s="20" t="str">
        <x:v>Simulado</x:v>
      </x:c>
      <x:c r="G213" s="11" t="n">
        <x:f>DATE(YEAR(B213),MONTH(B213),1)</x:f>
        <x:v>46174</x:v>
      </x:c>
      <x:c r="H213" s="2" t="n">
        <x:f>WEEKDAY(B213,2)</x:f>
        <x:v>2</x:v>
      </x:c>
      <x:c r="I213" s="2" t="n">
        <x:f>IF(COUNTIFS($B$7:B213,B213)=1,1,0)</x:f>
        <x:v>0</x:v>
      </x:c>
      <x:c r="J213" s="2" t="n">
        <x:f>IF(COUNTIFS('Detalle'!$A$7:$A$923,A213,'Detalle'!$B$7:$B$923,"Gaseosas")&gt;0,1,0)</x:f>
        <x:v>1</x:v>
      </x:c>
    </x:row>
    <x:row r="214" ht="23" customHeight="1">
      <x:c r="A214" s="2" t="str">
        <x:v>SIM-202606-016</x:v>
      </x:c>
      <x:c r="B214" s="8" t="n">
        <x:v>46184</x:v>
      </x:c>
      <x:c r="C214" s="9" t="n">
        <x:v>0.7409722222222223</x:v>
      </x:c>
      <x:c r="D214" s="2" t="n">
        <x:v>2</x:v>
      </x:c>
      <x:c r="E214" s="10" t="n">
        <x:v>18000</x:v>
      </x:c>
      <x:c r="F214" s="20" t="str">
        <x:v>Simulado</x:v>
      </x:c>
      <x:c r="G214" s="11" t="n">
        <x:f>DATE(YEAR(B214),MONTH(B214),1)</x:f>
        <x:v>46174</x:v>
      </x:c>
      <x:c r="H214" s="2" t="n">
        <x:f>WEEKDAY(B214,2)</x:f>
        <x:v>4</x:v>
      </x:c>
      <x:c r="I214" s="2" t="n">
        <x:f>IF(COUNTIFS($B$7:B214,B214)=1,1,0)</x:f>
        <x:v>1</x:v>
      </x:c>
      <x:c r="J214" s="2" t="n">
        <x:f>IF(COUNTIFS('Detalle'!$A$7:$A$923,A214,'Detalle'!$B$7:$B$923,"Gaseosas")&gt;0,1,0)</x:f>
        <x:v>1</x:v>
      </x:c>
    </x:row>
    <x:row r="215" ht="23" customHeight="1">
      <x:c r="A215" s="2" t="str">
        <x:v>SIM-202606-017</x:v>
      </x:c>
      <x:c r="B215" s="8" t="n">
        <x:v>46184</x:v>
      </x:c>
      <x:c r="C215" s="9" t="n">
        <x:v>0.8097222222222222</x:v>
      </x:c>
      <x:c r="D215" s="2" t="n">
        <x:v>3</x:v>
      </x:c>
      <x:c r="E215" s="10" t="n">
        <x:v>45000</x:v>
      </x:c>
      <x:c r="F215" s="20" t="str">
        <x:v>Simulado</x:v>
      </x:c>
      <x:c r="G215" s="11" t="n">
        <x:f>DATE(YEAR(B215),MONTH(B215),1)</x:f>
        <x:v>46174</x:v>
      </x:c>
      <x:c r="H215" s="2" t="n">
        <x:f>WEEKDAY(B215,2)</x:f>
        <x:v>4</x:v>
      </x:c>
      <x:c r="I215" s="2" t="n">
        <x:f>IF(COUNTIFS($B$7:B215,B215)=1,1,0)</x:f>
        <x:v>0</x:v>
      </x:c>
      <x:c r="J215" s="2" t="n">
        <x:f>IF(COUNTIFS('Detalle'!$A$7:$A$923,A215,'Detalle'!$B$7:$B$923,"Gaseosas")&gt;0,1,0)</x:f>
        <x:v>1</x:v>
      </x:c>
    </x:row>
    <x:row r="216" ht="23" customHeight="1">
      <x:c r="A216" s="2" t="str">
        <x:v>SIM-202606-018</x:v>
      </x:c>
      <x:c r="B216" s="8" t="n">
        <x:v>46185</x:v>
      </x:c>
      <x:c r="C216" s="9" t="n">
        <x:v>0.8868055555555555</x:v>
      </x:c>
      <x:c r="D216" s="2" t="n">
        <x:v>3</x:v>
      </x:c>
      <x:c r="E216" s="10" t="n">
        <x:v>33000</x:v>
      </x:c>
      <x:c r="F216" s="20" t="str">
        <x:v>Simulado</x:v>
      </x:c>
      <x:c r="G216" s="11" t="n">
        <x:f>DATE(YEAR(B216),MONTH(B216),1)</x:f>
        <x:v>46174</x:v>
      </x:c>
      <x:c r="H216" s="2" t="n">
        <x:f>WEEKDAY(B216,2)</x:f>
        <x:v>5</x:v>
      </x:c>
      <x:c r="I216" s="2" t="n">
        <x:f>IF(COUNTIFS($B$7:B216,B216)=1,1,0)</x:f>
        <x:v>1</x:v>
      </x:c>
      <x:c r="J216" s="2" t="n">
        <x:f>IF(COUNTIFS('Detalle'!$A$7:$A$923,A216,'Detalle'!$B$7:$B$923,"Gaseosas")&gt;0,1,0)</x:f>
        <x:v>1</x:v>
      </x:c>
    </x:row>
    <x:row r="217" ht="23" customHeight="1">
      <x:c r="A217" s="2" t="str">
        <x:v>SIM-202606-019</x:v>
      </x:c>
      <x:c r="B217" s="8" t="n">
        <x:v>46186</x:v>
      </x:c>
      <x:c r="C217" s="9" t="n">
        <x:v>0.7569444444444444</x:v>
      </x:c>
      <x:c r="D217" s="2" t="n">
        <x:v>1</x:v>
      </x:c>
      <x:c r="E217" s="10" t="n">
        <x:v>36000</x:v>
      </x:c>
      <x:c r="F217" s="20" t="str">
        <x:v>Simulado</x:v>
      </x:c>
      <x:c r="G217" s="11" t="n">
        <x:f>DATE(YEAR(B217),MONTH(B217),1)</x:f>
        <x:v>46174</x:v>
      </x:c>
      <x:c r="H217" s="2" t="n">
        <x:f>WEEKDAY(B217,2)</x:f>
        <x:v>6</x:v>
      </x:c>
      <x:c r="I217" s="2" t="n">
        <x:f>IF(COUNTIFS($B$7:B217,B217)=1,1,0)</x:f>
        <x:v>1</x:v>
      </x:c>
      <x:c r="J217" s="2" t="n">
        <x:f>IF(COUNTIFS('Detalle'!$A$7:$A$923,A217,'Detalle'!$B$7:$B$923,"Gaseosas")&gt;0,1,0)</x:f>
        <x:v>1</x:v>
      </x:c>
    </x:row>
    <x:row r="218" ht="23" customHeight="1">
      <x:c r="A218" s="2" t="str">
        <x:v>SIM-202606-020</x:v>
      </x:c>
      <x:c r="B218" s="8" t="n">
        <x:v>46187</x:v>
      </x:c>
      <x:c r="C218" s="9" t="n">
        <x:v>0.8090277777777778</x:v>
      </x:c>
      <x:c r="D218" s="2" t="n">
        <x:v>3</x:v>
      </x:c>
      <x:c r="E218" s="10" t="n">
        <x:v>47000</x:v>
      </x:c>
      <x:c r="F218" s="20" t="str">
        <x:v>Simulado</x:v>
      </x:c>
      <x:c r="G218" s="11" t="n">
        <x:f>DATE(YEAR(B218),MONTH(B218),1)</x:f>
        <x:v>46174</x:v>
      </x:c>
      <x:c r="H218" s="2" t="n">
        <x:f>WEEKDAY(B218,2)</x:f>
        <x:v>7</x:v>
      </x:c>
      <x:c r="I218" s="2" t="n">
        <x:f>IF(COUNTIFS($B$7:B218,B218)=1,1,0)</x:f>
        <x:v>1</x:v>
      </x:c>
      <x:c r="J218" s="2" t="n">
        <x:f>IF(COUNTIFS('Detalle'!$A$7:$A$923,A218,'Detalle'!$B$7:$B$923,"Gaseosas")&gt;0,1,0)</x:f>
        <x:v>1</x:v>
      </x:c>
    </x:row>
    <x:row r="219" ht="23" customHeight="1">
      <x:c r="A219" s="2" t="str">
        <x:v>SIM-202606-021</x:v>
      </x:c>
      <x:c r="B219" s="8" t="n">
        <x:v>46187</x:v>
      </x:c>
      <x:c r="C219" s="9" t="n">
        <x:v>0.8277777777777777</x:v>
      </x:c>
      <x:c r="D219" s="2" t="n">
        <x:v>3</x:v>
      </x:c>
      <x:c r="E219" s="10" t="n">
        <x:v>40000</x:v>
      </x:c>
      <x:c r="F219" s="20" t="str">
        <x:v>Simulado</x:v>
      </x:c>
      <x:c r="G219" s="11" t="n">
        <x:f>DATE(YEAR(B219),MONTH(B219),1)</x:f>
        <x:v>46174</x:v>
      </x:c>
      <x:c r="H219" s="2" t="n">
        <x:f>WEEKDAY(B219,2)</x:f>
        <x:v>7</x:v>
      </x:c>
      <x:c r="I219" s="2" t="n">
        <x:f>IF(COUNTIFS($B$7:B219,B219)=1,1,0)</x:f>
        <x:v>0</x:v>
      </x:c>
      <x:c r="J219" s="2" t="n">
        <x:f>IF(COUNTIFS('Detalle'!$A$7:$A$923,A219,'Detalle'!$B$7:$B$923,"Gaseosas")&gt;0,1,0)</x:f>
        <x:v>1</x:v>
      </x:c>
    </x:row>
    <x:row r="220" ht="23" customHeight="1">
      <x:c r="A220" s="2" t="str">
        <x:v>SIM-202606-022</x:v>
      </x:c>
      <x:c r="B220" s="8" t="n">
        <x:v>46187</x:v>
      </x:c>
      <x:c r="C220" s="9" t="n">
        <x:v>0.8604166666666667</x:v>
      </x:c>
      <x:c r="D220" s="2" t="n">
        <x:v>2</x:v>
      </x:c>
      <x:c r="E220" s="10" t="n">
        <x:v>40000</x:v>
      </x:c>
      <x:c r="F220" s="20" t="str">
        <x:v>Simulado</x:v>
      </x:c>
      <x:c r="G220" s="11" t="n">
        <x:f>DATE(YEAR(B220),MONTH(B220),1)</x:f>
        <x:v>46174</x:v>
      </x:c>
      <x:c r="H220" s="2" t="n">
        <x:f>WEEKDAY(B220,2)</x:f>
        <x:v>7</x:v>
      </x:c>
      <x:c r="I220" s="2" t="n">
        <x:f>IF(COUNTIFS($B$7:B220,B220)=1,1,0)</x:f>
        <x:v>0</x:v>
      </x:c>
      <x:c r="J220" s="2" t="n">
        <x:f>IF(COUNTIFS('Detalle'!$A$7:$A$923,A220,'Detalle'!$B$7:$B$923,"Gaseosas")&gt;0,1,0)</x:f>
        <x:v>1</x:v>
      </x:c>
    </x:row>
    <x:row r="221" ht="23" customHeight="1">
      <x:c r="A221" s="2" t="str">
        <x:v>SIM-202606-023</x:v>
      </x:c>
      <x:c r="B221" s="8" t="n">
        <x:v>46187</x:v>
      </x:c>
      <x:c r="C221" s="9" t="n">
        <x:v>0.8854166666666666</x:v>
      </x:c>
      <x:c r="D221" s="2" t="n">
        <x:v>1</x:v>
      </x:c>
      <x:c r="E221" s="10" t="n">
        <x:v>20000</x:v>
      </x:c>
      <x:c r="F221" s="20" t="str">
        <x:v>Simulado</x:v>
      </x:c>
      <x:c r="G221" s="11" t="n">
        <x:f>DATE(YEAR(B221),MONTH(B221),1)</x:f>
        <x:v>46174</x:v>
      </x:c>
      <x:c r="H221" s="2" t="n">
        <x:f>WEEKDAY(B221,2)</x:f>
        <x:v>7</x:v>
      </x:c>
      <x:c r="I221" s="2" t="n">
        <x:f>IF(COUNTIFS($B$7:B221,B221)=1,1,0)</x:f>
        <x:v>0</x:v>
      </x:c>
      <x:c r="J221" s="2" t="n">
        <x:f>IF(COUNTIFS('Detalle'!$A$7:$A$923,A221,'Detalle'!$B$7:$B$923,"Gaseosas")&gt;0,1,0)</x:f>
        <x:v>1</x:v>
      </x:c>
    </x:row>
    <x:row r="222" ht="23" customHeight="1">
      <x:c r="A222" s="2" t="str">
        <x:v>SIM-202606-024</x:v>
      </x:c>
      <x:c r="B222" s="8" t="n">
        <x:v>46190</x:v>
      </x:c>
      <x:c r="C222" s="9" t="n">
        <x:v>0.75625</x:v>
      </x:c>
      <x:c r="D222" s="2" t="n">
        <x:v>3</x:v>
      </x:c>
      <x:c r="E222" s="10" t="n">
        <x:v>20000</x:v>
      </x:c>
      <x:c r="F222" s="20" t="str">
        <x:v>Simulado</x:v>
      </x:c>
      <x:c r="G222" s="11" t="n">
        <x:f>DATE(YEAR(B222),MONTH(B222),1)</x:f>
        <x:v>46174</x:v>
      </x:c>
      <x:c r="H222" s="2" t="n">
        <x:f>WEEKDAY(B222,2)</x:f>
        <x:v>3</x:v>
      </x:c>
      <x:c r="I222" s="2" t="n">
        <x:f>IF(COUNTIFS($B$7:B222,B222)=1,1,0)</x:f>
        <x:v>1</x:v>
      </x:c>
      <x:c r="J222" s="2" t="n">
        <x:f>IF(COUNTIFS('Detalle'!$A$7:$A$923,A222,'Detalle'!$B$7:$B$923,"Gaseosas")&gt;0,1,0)</x:f>
        <x:v>1</x:v>
      </x:c>
    </x:row>
    <x:row r="223" ht="23" customHeight="1">
      <x:c r="A223" s="2" t="str">
        <x:v>SIM-202606-025</x:v>
      </x:c>
      <x:c r="B223" s="8" t="n">
        <x:v>46191</x:v>
      </x:c>
      <x:c r="C223" s="9" t="n">
        <x:v>0.8375</x:v>
      </x:c>
      <x:c r="D223" s="2" t="n">
        <x:v>4</x:v>
      </x:c>
      <x:c r="E223" s="10" t="n">
        <x:v>20000</x:v>
      </x:c>
      <x:c r="F223" s="20" t="str">
        <x:v>Simulado</x:v>
      </x:c>
      <x:c r="G223" s="11" t="n">
        <x:f>DATE(YEAR(B223),MONTH(B223),1)</x:f>
        <x:v>46174</x:v>
      </x:c>
      <x:c r="H223" s="2" t="n">
        <x:f>WEEKDAY(B223,2)</x:f>
        <x:v>4</x:v>
      </x:c>
      <x:c r="I223" s="2" t="n">
        <x:f>IF(COUNTIFS($B$7:B223,B223)=1,1,0)</x:f>
        <x:v>1</x:v>
      </x:c>
      <x:c r="J223" s="2" t="n">
        <x:f>IF(COUNTIFS('Detalle'!$A$7:$A$923,A223,'Detalle'!$B$7:$B$923,"Gaseosas")&gt;0,1,0)</x:f>
        <x:v>1</x:v>
      </x:c>
    </x:row>
    <x:row r="224" ht="23" customHeight="1">
      <x:c r="A224" s="2" t="str">
        <x:v>SIM-202606-026</x:v>
      </x:c>
      <x:c r="B224" s="8" t="n">
        <x:v>46192</x:v>
      </x:c>
      <x:c r="C224" s="9" t="n">
        <x:v>0.7423611111111111</x:v>
      </x:c>
      <x:c r="D224" s="2" t="n">
        <x:v>4</x:v>
      </x:c>
      <x:c r="E224" s="10" t="n">
        <x:v>40000</x:v>
      </x:c>
      <x:c r="F224" s="20" t="str">
        <x:v>Simulado</x:v>
      </x:c>
      <x:c r="G224" s="11" t="n">
        <x:f>DATE(YEAR(B224),MONTH(B224),1)</x:f>
        <x:v>46174</x:v>
      </x:c>
      <x:c r="H224" s="2" t="n">
        <x:f>WEEKDAY(B224,2)</x:f>
        <x:v>5</x:v>
      </x:c>
      <x:c r="I224" s="2" t="n">
        <x:f>IF(COUNTIFS($B$7:B224,B224)=1,1,0)</x:f>
        <x:v>1</x:v>
      </x:c>
      <x:c r="J224" s="2" t="n">
        <x:f>IF(COUNTIFS('Detalle'!$A$7:$A$923,A224,'Detalle'!$B$7:$B$923,"Gaseosas")&gt;0,1,0)</x:f>
        <x:v>1</x:v>
      </x:c>
    </x:row>
    <x:row r="225" ht="23" customHeight="1">
      <x:c r="A225" s="2" t="str">
        <x:v>SIM-202606-027</x:v>
      </x:c>
      <x:c r="B225" s="8" t="n">
        <x:v>46192</x:v>
      </x:c>
      <x:c r="C225" s="9" t="n">
        <x:v>0.7520833333333333</x:v>
      </x:c>
      <x:c r="D225" s="2" t="n">
        <x:v>2</x:v>
      </x:c>
      <x:c r="E225" s="10" t="n">
        <x:v>17000</x:v>
      </x:c>
      <x:c r="F225" s="20" t="str">
        <x:v>Simulado</x:v>
      </x:c>
      <x:c r="G225" s="11" t="n">
        <x:f>DATE(YEAR(B225),MONTH(B225),1)</x:f>
        <x:v>46174</x:v>
      </x:c>
      <x:c r="H225" s="2" t="n">
        <x:f>WEEKDAY(B225,2)</x:f>
        <x:v>5</x:v>
      </x:c>
      <x:c r="I225" s="2" t="n">
        <x:f>IF(COUNTIFS($B$7:B225,B225)=1,1,0)</x:f>
        <x:v>0</x:v>
      </x:c>
      <x:c r="J225" s="2" t="n">
        <x:f>IF(COUNTIFS('Detalle'!$A$7:$A$923,A225,'Detalle'!$B$7:$B$923,"Gaseosas")&gt;0,1,0)</x:f>
        <x:v>1</x:v>
      </x:c>
    </x:row>
    <x:row r="226" ht="23" customHeight="1">
      <x:c r="A226" s="2" t="str">
        <x:v>SIM-202606-028</x:v>
      </x:c>
      <x:c r="B226" s="8" t="n">
        <x:v>46192</x:v>
      </x:c>
      <x:c r="C226" s="9" t="n">
        <x:v>0.7881944444444444</x:v>
      </x:c>
      <x:c r="D226" s="2" t="n">
        <x:v>4</x:v>
      </x:c>
      <x:c r="E226" s="10" t="n">
        <x:v>49000</x:v>
      </x:c>
      <x:c r="F226" s="20" t="str">
        <x:v>Simulado</x:v>
      </x:c>
      <x:c r="G226" s="11" t="n">
        <x:f>DATE(YEAR(B226),MONTH(B226),1)</x:f>
        <x:v>46174</x:v>
      </x:c>
      <x:c r="H226" s="2" t="n">
        <x:f>WEEKDAY(B226,2)</x:f>
        <x:v>5</x:v>
      </x:c>
      <x:c r="I226" s="2" t="n">
        <x:f>IF(COUNTIFS($B$7:B226,B226)=1,1,0)</x:f>
        <x:v>0</x:v>
      </x:c>
      <x:c r="J226" s="2" t="n">
        <x:f>IF(COUNTIFS('Detalle'!$A$7:$A$923,A226,'Detalle'!$B$7:$B$923,"Gaseosas")&gt;0,1,0)</x:f>
        <x:v>1</x:v>
      </x:c>
    </x:row>
    <x:row r="227" ht="23" customHeight="1">
      <x:c r="A227" s="2" t="str">
        <x:v>SIM-202606-029</x:v>
      </x:c>
      <x:c r="B227" s="8" t="n">
        <x:v>46192</x:v>
      </x:c>
      <x:c r="C227" s="9" t="n">
        <x:v>0.8520833333333333</x:v>
      </x:c>
      <x:c r="D227" s="2" t="n">
        <x:v>1</x:v>
      </x:c>
      <x:c r="E227" s="10" t="n">
        <x:v>25000</x:v>
      </x:c>
      <x:c r="F227" s="20" t="str">
        <x:v>Simulado</x:v>
      </x:c>
      <x:c r="G227" s="11" t="n">
        <x:f>DATE(YEAR(B227),MONTH(B227),1)</x:f>
        <x:v>46174</x:v>
      </x:c>
      <x:c r="H227" s="2" t="n">
        <x:f>WEEKDAY(B227,2)</x:f>
        <x:v>5</x:v>
      </x:c>
      <x:c r="I227" s="2" t="n">
        <x:f>IF(COUNTIFS($B$7:B227,B227)=1,1,0)</x:f>
        <x:v>0</x:v>
      </x:c>
      <x:c r="J227" s="2" t="n">
        <x:f>IF(COUNTIFS('Detalle'!$A$7:$A$923,A227,'Detalle'!$B$7:$B$923,"Gaseosas")&gt;0,1,0)</x:f>
        <x:v>1</x:v>
      </x:c>
    </x:row>
    <x:row r="228" ht="23" customHeight="1">
      <x:c r="A228" s="2" t="str">
        <x:v>SIM-202606-030</x:v>
      </x:c>
      <x:c r="B228" s="8" t="n">
        <x:v>46192</x:v>
      </x:c>
      <x:c r="C228" s="9" t="n">
        <x:v>0.8895833333333333</x:v>
      </x:c>
      <x:c r="D228" s="2" t="n">
        <x:v>4</x:v>
      </x:c>
      <x:c r="E228" s="10" t="n">
        <x:v>18000</x:v>
      </x:c>
      <x:c r="F228" s="20" t="str">
        <x:v>Simulado</x:v>
      </x:c>
      <x:c r="G228" s="11" t="n">
        <x:f>DATE(YEAR(B228),MONTH(B228),1)</x:f>
        <x:v>46174</x:v>
      </x:c>
      <x:c r="H228" s="2" t="n">
        <x:f>WEEKDAY(B228,2)</x:f>
        <x:v>5</x:v>
      </x:c>
      <x:c r="I228" s="2" t="n">
        <x:f>IF(COUNTIFS($B$7:B228,B228)=1,1,0)</x:f>
        <x:v>0</x:v>
      </x:c>
      <x:c r="J228" s="2" t="n">
        <x:f>IF(COUNTIFS('Detalle'!$A$7:$A$923,A228,'Detalle'!$B$7:$B$923,"Gaseosas")&gt;0,1,0)</x:f>
        <x:v>1</x:v>
      </x:c>
    </x:row>
    <x:row r="229" ht="23" customHeight="1">
      <x:c r="A229" s="2" t="str">
        <x:v>SIM-202606-031</x:v>
      </x:c>
      <x:c r="B229" s="8" t="n">
        <x:v>46193</x:v>
      </x:c>
      <x:c r="C229" s="9" t="n">
        <x:v>0.725</x:v>
      </x:c>
      <x:c r="D229" s="2" t="n">
        <x:v>3</x:v>
      </x:c>
      <x:c r="E229" s="10" t="n">
        <x:v>45000</x:v>
      </x:c>
      <x:c r="F229" s="20" t="str">
        <x:v>Simulado</x:v>
      </x:c>
      <x:c r="G229" s="11" t="n">
        <x:f>DATE(YEAR(B229),MONTH(B229),1)</x:f>
        <x:v>46174</x:v>
      </x:c>
      <x:c r="H229" s="2" t="n">
        <x:f>WEEKDAY(B229,2)</x:f>
        <x:v>6</x:v>
      </x:c>
      <x:c r="I229" s="2" t="n">
        <x:f>IF(COUNTIFS($B$7:B229,B229)=1,1,0)</x:f>
        <x:v>1</x:v>
      </x:c>
      <x:c r="J229" s="2" t="n">
        <x:f>IF(COUNTIFS('Detalle'!$A$7:$A$923,A229,'Detalle'!$B$7:$B$923,"Gaseosas")&gt;0,1,0)</x:f>
        <x:v>1</x:v>
      </x:c>
    </x:row>
    <x:row r="230" ht="23" customHeight="1">
      <x:c r="A230" s="2" t="str">
        <x:v>SIM-202606-032</x:v>
      </x:c>
      <x:c r="B230" s="8" t="n">
        <x:v>46193</x:v>
      </x:c>
      <x:c r="C230" s="9" t="n">
        <x:v>0.7833333333333333</x:v>
      </x:c>
      <x:c r="D230" s="2" t="n">
        <x:v>2</x:v>
      </x:c>
      <x:c r="E230" s="10" t="n">
        <x:v>13000</x:v>
      </x:c>
      <x:c r="F230" s="20" t="str">
        <x:v>Simulado</x:v>
      </x:c>
      <x:c r="G230" s="11" t="n">
        <x:f>DATE(YEAR(B230),MONTH(B230),1)</x:f>
        <x:v>46174</x:v>
      </x:c>
      <x:c r="H230" s="2" t="n">
        <x:f>WEEKDAY(B230,2)</x:f>
        <x:v>6</x:v>
      </x:c>
      <x:c r="I230" s="2" t="n">
        <x:f>IF(COUNTIFS($B$7:B230,B230)=1,1,0)</x:f>
        <x:v>0</x:v>
      </x:c>
      <x:c r="J230" s="2" t="n">
        <x:f>IF(COUNTIFS('Detalle'!$A$7:$A$923,A230,'Detalle'!$B$7:$B$923,"Gaseosas")&gt;0,1,0)</x:f>
        <x:v>0</x:v>
      </x:c>
    </x:row>
    <x:row r="231" ht="23" customHeight="1">
      <x:c r="A231" s="2" t="str">
        <x:v>SIM-202606-033</x:v>
      </x:c>
      <x:c r="B231" s="8" t="n">
        <x:v>46193</x:v>
      </x:c>
      <x:c r="C231" s="9" t="n">
        <x:v>0.8076388888888889</x:v>
      </x:c>
      <x:c r="D231" s="2" t="n">
        <x:v>1</x:v>
      </x:c>
      <x:c r="E231" s="10" t="n">
        <x:v>37000</x:v>
      </x:c>
      <x:c r="F231" s="20" t="str">
        <x:v>Simulado</x:v>
      </x:c>
      <x:c r="G231" s="11" t="n">
        <x:f>DATE(YEAR(B231),MONTH(B231),1)</x:f>
        <x:v>46174</x:v>
      </x:c>
      <x:c r="H231" s="2" t="n">
        <x:f>WEEKDAY(B231,2)</x:f>
        <x:v>6</x:v>
      </x:c>
      <x:c r="I231" s="2" t="n">
        <x:f>IF(COUNTIFS($B$7:B231,B231)=1,1,0)</x:f>
        <x:v>0</x:v>
      </x:c>
      <x:c r="J231" s="2" t="n">
        <x:f>IF(COUNTIFS('Detalle'!$A$7:$A$923,A231,'Detalle'!$B$7:$B$923,"Gaseosas")&gt;0,1,0)</x:f>
        <x:v>1</x:v>
      </x:c>
    </x:row>
    <x:row r="232" ht="23" customHeight="1">
      <x:c r="A232" s="2" t="str">
        <x:v>SIM-202606-034</x:v>
      </x:c>
      <x:c r="B232" s="8" t="n">
        <x:v>46193</x:v>
      </x:c>
      <x:c r="C232" s="9" t="n">
        <x:v>0.8479166666666667</x:v>
      </x:c>
      <x:c r="D232" s="2" t="n">
        <x:v>4</x:v>
      </x:c>
      <x:c r="E232" s="10" t="n">
        <x:v>25000</x:v>
      </x:c>
      <x:c r="F232" s="20" t="str">
        <x:v>Simulado</x:v>
      </x:c>
      <x:c r="G232" s="11" t="n">
        <x:f>DATE(YEAR(B232),MONTH(B232),1)</x:f>
        <x:v>46174</x:v>
      </x:c>
      <x:c r="H232" s="2" t="n">
        <x:f>WEEKDAY(B232,2)</x:f>
        <x:v>6</x:v>
      </x:c>
      <x:c r="I232" s="2" t="n">
        <x:f>IF(COUNTIFS($B$7:B232,B232)=1,1,0)</x:f>
        <x:v>0</x:v>
      </x:c>
      <x:c r="J232" s="2" t="n">
        <x:f>IF(COUNTIFS('Detalle'!$A$7:$A$923,A232,'Detalle'!$B$7:$B$923,"Gaseosas")&gt;0,1,0)</x:f>
        <x:v>1</x:v>
      </x:c>
    </x:row>
    <x:row r="233" ht="23" customHeight="1">
      <x:c r="A233" s="2" t="str">
        <x:v>SIM-202606-035</x:v>
      </x:c>
      <x:c r="B233" s="8" t="n">
        <x:v>46194</x:v>
      </x:c>
      <x:c r="C233" s="9" t="n">
        <x:v>0.7090277777777778</x:v>
      </x:c>
      <x:c r="D233" s="2" t="n">
        <x:v>4</x:v>
      </x:c>
      <x:c r="E233" s="10" t="n">
        <x:v>40000</x:v>
      </x:c>
      <x:c r="F233" s="20" t="str">
        <x:v>Simulado</x:v>
      </x:c>
      <x:c r="G233" s="11" t="n">
        <x:f>DATE(YEAR(B233),MONTH(B233),1)</x:f>
        <x:v>46174</x:v>
      </x:c>
      <x:c r="H233" s="2" t="n">
        <x:f>WEEKDAY(B233,2)</x:f>
        <x:v>7</x:v>
      </x:c>
      <x:c r="I233" s="2" t="n">
        <x:f>IF(COUNTIFS($B$7:B233,B233)=1,1,0)</x:f>
        <x:v>1</x:v>
      </x:c>
      <x:c r="J233" s="2" t="n">
        <x:f>IF(COUNTIFS('Detalle'!$A$7:$A$923,A233,'Detalle'!$B$7:$B$923,"Gaseosas")&gt;0,1,0)</x:f>
        <x:v>1</x:v>
      </x:c>
    </x:row>
    <x:row r="234" ht="23" customHeight="1">
      <x:c r="A234" s="2" t="str">
        <x:v>SIM-202606-036</x:v>
      </x:c>
      <x:c r="B234" s="8" t="n">
        <x:v>46194</x:v>
      </x:c>
      <x:c r="C234" s="9" t="n">
        <x:v>0.8569444444444444</x:v>
      </x:c>
      <x:c r="D234" s="2" t="n">
        <x:v>4</x:v>
      </x:c>
      <x:c r="E234" s="10" t="n">
        <x:v>50000</x:v>
      </x:c>
      <x:c r="F234" s="20" t="str">
        <x:v>Simulado</x:v>
      </x:c>
      <x:c r="G234" s="11" t="n">
        <x:f>DATE(YEAR(B234),MONTH(B234),1)</x:f>
        <x:v>46174</x:v>
      </x:c>
      <x:c r="H234" s="2" t="n">
        <x:f>WEEKDAY(B234,2)</x:f>
        <x:v>7</x:v>
      </x:c>
      <x:c r="I234" s="2" t="n">
        <x:f>IF(COUNTIFS($B$7:B234,B234)=1,1,0)</x:f>
        <x:v>0</x:v>
      </x:c>
      <x:c r="J234" s="2" t="n">
        <x:f>IF(COUNTIFS('Detalle'!$A$7:$A$923,A234,'Detalle'!$B$7:$B$923,"Gaseosas")&gt;0,1,0)</x:f>
        <x:v>1</x:v>
      </x:c>
    </x:row>
    <x:row r="235" ht="23" customHeight="1">
      <x:c r="A235" s="2" t="str">
        <x:v>SIM-202606-037</x:v>
      </x:c>
      <x:c r="B235" s="8" t="n">
        <x:v>46196</x:v>
      </x:c>
      <x:c r="C235" s="9" t="n">
        <x:v>0.75625</x:v>
      </x:c>
      <x:c r="D235" s="2" t="n">
        <x:v>2</x:v>
      </x:c>
      <x:c r="E235" s="10" t="n">
        <x:v>15000</x:v>
      </x:c>
      <x:c r="F235" s="20" t="str">
        <x:v>Simulado</x:v>
      </x:c>
      <x:c r="G235" s="11" t="n">
        <x:f>DATE(YEAR(B235),MONTH(B235),1)</x:f>
        <x:v>46174</x:v>
      </x:c>
      <x:c r="H235" s="2" t="n">
        <x:f>WEEKDAY(B235,2)</x:f>
        <x:v>2</x:v>
      </x:c>
      <x:c r="I235" s="2" t="n">
        <x:f>IF(COUNTIFS($B$7:B235,B235)=1,1,0)</x:f>
        <x:v>1</x:v>
      </x:c>
      <x:c r="J235" s="2" t="n">
        <x:f>IF(COUNTIFS('Detalle'!$A$7:$A$923,A235,'Detalle'!$B$7:$B$923,"Gaseosas")&gt;0,1,0)</x:f>
        <x:v>0</x:v>
      </x:c>
    </x:row>
    <x:row r="236" ht="23" customHeight="1">
      <x:c r="A236" s="2" t="str">
        <x:v>SIM-202606-038</x:v>
      </x:c>
      <x:c r="B236" s="8" t="n">
        <x:v>46198</x:v>
      </x:c>
      <x:c r="C236" s="9" t="n">
        <x:v>0.7479166666666667</x:v>
      </x:c>
      <x:c r="D236" s="2" t="n">
        <x:v>3</x:v>
      </x:c>
      <x:c r="E236" s="10" t="n">
        <x:v>18000</x:v>
      </x:c>
      <x:c r="F236" s="20" t="str">
        <x:v>Simulado</x:v>
      </x:c>
      <x:c r="G236" s="11" t="n">
        <x:f>DATE(YEAR(B236),MONTH(B236),1)</x:f>
        <x:v>46174</x:v>
      </x:c>
      <x:c r="H236" s="2" t="n">
        <x:f>WEEKDAY(B236,2)</x:f>
        <x:v>4</x:v>
      </x:c>
      <x:c r="I236" s="2" t="n">
        <x:f>IF(COUNTIFS($B$7:B236,B236)=1,1,0)</x:f>
        <x:v>1</x:v>
      </x:c>
      <x:c r="J236" s="2" t="n">
        <x:f>IF(COUNTIFS('Detalle'!$A$7:$A$923,A236,'Detalle'!$B$7:$B$923,"Gaseosas")&gt;0,1,0)</x:f>
        <x:v>1</x:v>
      </x:c>
    </x:row>
    <x:row r="237" ht="23" customHeight="1">
      <x:c r="A237" s="2" t="str">
        <x:v>SIM-202606-039</x:v>
      </x:c>
      <x:c r="B237" s="8" t="n">
        <x:v>46200</x:v>
      </x:c>
      <x:c r="C237" s="9" t="n">
        <x:v>0.7138888888888889</x:v>
      </x:c>
      <x:c r="D237" s="2" t="n">
        <x:v>3</x:v>
      </x:c>
      <x:c r="E237" s="10" t="n">
        <x:v>90000</x:v>
      </x:c>
      <x:c r="F237" s="20" t="str">
        <x:v>Simulado</x:v>
      </x:c>
      <x:c r="G237" s="11" t="n">
        <x:f>DATE(YEAR(B237),MONTH(B237),1)</x:f>
        <x:v>46174</x:v>
      </x:c>
      <x:c r="H237" s="2" t="n">
        <x:f>WEEKDAY(B237,2)</x:f>
        <x:v>6</x:v>
      </x:c>
      <x:c r="I237" s="2" t="n">
        <x:f>IF(COUNTIFS($B$7:B237,B237)=1,1,0)</x:f>
        <x:v>1</x:v>
      </x:c>
      <x:c r="J237" s="2" t="n">
        <x:f>IF(COUNTIFS('Detalle'!$A$7:$A$923,A237,'Detalle'!$B$7:$B$923,"Gaseosas")&gt;0,1,0)</x:f>
        <x:v>1</x:v>
      </x:c>
    </x:row>
    <x:row r="238" ht="23" customHeight="1">
      <x:c r="A238" s="2" t="str">
        <x:v>SIM-202606-040</x:v>
      </x:c>
      <x:c r="B238" s="8" t="n">
        <x:v>46200</x:v>
      </x:c>
      <x:c r="C238" s="9" t="n">
        <x:v>0.7444444444444445</x:v>
      </x:c>
      <x:c r="D238" s="2" t="n">
        <x:v>4</x:v>
      </x:c>
      <x:c r="E238" s="10" t="n">
        <x:v>65000</x:v>
      </x:c>
      <x:c r="F238" s="20" t="str">
        <x:v>Simulado</x:v>
      </x:c>
      <x:c r="G238" s="11" t="n">
        <x:f>DATE(YEAR(B238),MONTH(B238),1)</x:f>
        <x:v>46174</x:v>
      </x:c>
      <x:c r="H238" s="2" t="n">
        <x:f>WEEKDAY(B238,2)</x:f>
        <x:v>6</x:v>
      </x:c>
      <x:c r="I238" s="2" t="n">
        <x:f>IF(COUNTIFS($B$7:B238,B238)=1,1,0)</x:f>
        <x:v>0</x:v>
      </x:c>
      <x:c r="J238" s="2" t="n">
        <x:f>IF(COUNTIFS('Detalle'!$A$7:$A$923,A238,'Detalle'!$B$7:$B$923,"Gaseosas")&gt;0,1,0)</x:f>
        <x:v>1</x:v>
      </x:c>
    </x:row>
    <x:row r="239" ht="23" customHeight="1">
      <x:c r="A239" s="2" t="str">
        <x:v>SIM-202606-041</x:v>
      </x:c>
      <x:c r="B239" s="8" t="n">
        <x:v>46201</x:v>
      </x:c>
      <x:c r="C239" s="9" t="n">
        <x:v>0.8027777777777778</x:v>
      </x:c>
      <x:c r="D239" s="2" t="n">
        <x:v>3</x:v>
      </x:c>
      <x:c r="E239" s="10" t="n">
        <x:v>38000</x:v>
      </x:c>
      <x:c r="F239" s="20" t="str">
        <x:v>Simulado</x:v>
      </x:c>
      <x:c r="G239" s="11" t="n">
        <x:f>DATE(YEAR(B239),MONTH(B239),1)</x:f>
        <x:v>46174</x:v>
      </x:c>
      <x:c r="H239" s="2" t="n">
        <x:f>WEEKDAY(B239,2)</x:f>
        <x:v>7</x:v>
      </x:c>
      <x:c r="I239" s="2" t="n">
        <x:f>IF(COUNTIFS($B$7:B239,B239)=1,1,0)</x:f>
        <x:v>1</x:v>
      </x:c>
      <x:c r="J239" s="2" t="n">
        <x:f>IF(COUNTIFS('Detalle'!$A$7:$A$923,A239,'Detalle'!$B$7:$B$923,"Gaseosas")&gt;0,1,0)</x:f>
        <x:v>1</x:v>
      </x:c>
    </x:row>
    <x:row r="240" ht="23" customHeight="1">
      <x:c r="A240" s="2" t="str">
        <x:v>SIM-202606-042</x:v>
      </x:c>
      <x:c r="B240" s="8" t="n">
        <x:v>46201</x:v>
      </x:c>
      <x:c r="C240" s="9" t="n">
        <x:v>0.8722222222222222</x:v>
      </x:c>
      <x:c r="D240" s="2" t="n">
        <x:v>4</x:v>
      </x:c>
      <x:c r="E240" s="10" t="n">
        <x:v>33000</x:v>
      </x:c>
      <x:c r="F240" s="20" t="str">
        <x:v>Simulado</x:v>
      </x:c>
      <x:c r="G240" s="11" t="n">
        <x:f>DATE(YEAR(B240),MONTH(B240),1)</x:f>
        <x:v>46174</x:v>
      </x:c>
      <x:c r="H240" s="2" t="n">
        <x:f>WEEKDAY(B240,2)</x:f>
        <x:v>7</x:v>
      </x:c>
      <x:c r="I240" s="2" t="n">
        <x:f>IF(COUNTIFS($B$7:B240,B240)=1,1,0)</x:f>
        <x:v>0</x:v>
      </x:c>
      <x:c r="J240" s="2" t="n">
        <x:f>IF(COUNTIFS('Detalle'!$A$7:$A$923,A240,'Detalle'!$B$7:$B$923,"Gaseosas")&gt;0,1,0)</x:f>
        <x:v>1</x:v>
      </x:c>
    </x:row>
    <x:row r="241" ht="23" customHeight="1">
      <x:c r="A241" s="2" t="str">
        <x:v>SIM-202607-001</x:v>
      </x:c>
      <x:c r="B241" s="8" t="n">
        <x:v>46204</x:v>
      </x:c>
      <x:c r="C241" s="9" t="n">
        <x:v>0.8111111111111111</x:v>
      </x:c>
      <x:c r="D241" s="2" t="n">
        <x:v>2</x:v>
      </x:c>
      <x:c r="E241" s="10" t="n">
        <x:v>20000</x:v>
      </x:c>
      <x:c r="F241" s="20" t="str">
        <x:v>Simulado</x:v>
      </x:c>
      <x:c r="G241" s="11" t="n">
        <x:f>DATE(YEAR(B241),MONTH(B241),1)</x:f>
        <x:v>46204</x:v>
      </x:c>
      <x:c r="H241" s="2" t="n">
        <x:f>WEEKDAY(B241,2)</x:f>
        <x:v>3</x:v>
      </x:c>
      <x:c r="I241" s="2" t="n">
        <x:f>IF(COUNTIFS($B$7:B241,B241)=1,1,0)</x:f>
        <x:v>1</x:v>
      </x:c>
      <x:c r="J241" s="2" t="n">
        <x:f>IF(COUNTIFS('Detalle'!$A$7:$A$923,A241,'Detalle'!$B$7:$B$923,"Gaseosas")&gt;0,1,0)</x:f>
        <x:v>1</x:v>
      </x:c>
    </x:row>
    <x:row r="242" ht="23" customHeight="1">
      <x:c r="A242" s="2" t="str">
        <x:v>SIM-202607-002</x:v>
      </x:c>
      <x:c r="B242" s="8" t="n">
        <x:v>46205</x:v>
      </x:c>
      <x:c r="C242" s="9" t="n">
        <x:v>0.8159722222222222</x:v>
      </x:c>
      <x:c r="D242" s="2" t="n">
        <x:v>1</x:v>
      </x:c>
      <x:c r="E242" s="10" t="n">
        <x:v>18000</x:v>
      </x:c>
      <x:c r="F242" s="20" t="str">
        <x:v>Simulado</x:v>
      </x:c>
      <x:c r="G242" s="11" t="n">
        <x:f>DATE(YEAR(B242),MONTH(B242),1)</x:f>
        <x:v>46204</x:v>
      </x:c>
      <x:c r="H242" s="2" t="n">
        <x:f>WEEKDAY(B242,2)</x:f>
        <x:v>4</x:v>
      </x:c>
      <x:c r="I242" s="2" t="n">
        <x:f>IF(COUNTIFS($B$7:B242,B242)=1,1,0)</x:f>
        <x:v>1</x:v>
      </x:c>
      <x:c r="J242" s="2" t="n">
        <x:f>IF(COUNTIFS('Detalle'!$A$7:$A$923,A242,'Detalle'!$B$7:$B$923,"Gaseosas")&gt;0,1,0)</x:f>
        <x:v>1</x:v>
      </x:c>
    </x:row>
    <x:row r="243" ht="23" customHeight="1">
      <x:c r="A243" s="2" t="str">
        <x:v>SIM-202607-003</x:v>
      </x:c>
      <x:c r="B243" s="8" t="n">
        <x:v>46205</x:v>
      </x:c>
      <x:c r="C243" s="9" t="n">
        <x:v>0.8256944444444444</x:v>
      </x:c>
      <x:c r="D243" s="2" t="n">
        <x:v>3</x:v>
      </x:c>
      <x:c r="E243" s="10" t="n">
        <x:v>50000</x:v>
      </x:c>
      <x:c r="F243" s="20" t="str">
        <x:v>Simulado</x:v>
      </x:c>
      <x:c r="G243" s="11" t="n">
        <x:f>DATE(YEAR(B243),MONTH(B243),1)</x:f>
        <x:v>46204</x:v>
      </x:c>
      <x:c r="H243" s="2" t="n">
        <x:f>WEEKDAY(B243,2)</x:f>
        <x:v>4</x:v>
      </x:c>
      <x:c r="I243" s="2" t="n">
        <x:f>IF(COUNTIFS($B$7:B243,B243)=1,1,0)</x:f>
        <x:v>0</x:v>
      </x:c>
      <x:c r="J243" s="2" t="n">
        <x:f>IF(COUNTIFS('Detalle'!$A$7:$A$923,A243,'Detalle'!$B$7:$B$923,"Gaseosas")&gt;0,1,0)</x:f>
        <x:v>1</x:v>
      </x:c>
    </x:row>
    <x:row r="244" ht="23" customHeight="1">
      <x:c r="A244" s="2" t="str">
        <x:v>SIM-202607-004</x:v>
      </x:c>
      <x:c r="B244" s="8" t="n">
        <x:v>46205</x:v>
      </x:c>
      <x:c r="C244" s="9" t="n">
        <x:v>0.8368055555555556</x:v>
      </x:c>
      <x:c r="D244" s="2" t="n">
        <x:v>1</x:v>
      </x:c>
      <x:c r="E244" s="10" t="n">
        <x:v>43000</x:v>
      </x:c>
      <x:c r="F244" s="20" t="str">
        <x:v>Simulado</x:v>
      </x:c>
      <x:c r="G244" s="11" t="n">
        <x:f>DATE(YEAR(B244),MONTH(B244),1)</x:f>
        <x:v>46204</x:v>
      </x:c>
      <x:c r="H244" s="2" t="n">
        <x:f>WEEKDAY(B244,2)</x:f>
        <x:v>4</x:v>
      </x:c>
      <x:c r="I244" s="2" t="n">
        <x:f>IF(COUNTIFS($B$7:B244,B244)=1,1,0)</x:f>
        <x:v>0</x:v>
      </x:c>
      <x:c r="J244" s="2" t="n">
        <x:f>IF(COUNTIFS('Detalle'!$A$7:$A$923,A244,'Detalle'!$B$7:$B$923,"Gaseosas")&gt;0,1,0)</x:f>
        <x:v>1</x:v>
      </x:c>
    </x:row>
    <x:row r="245" ht="23" customHeight="1">
      <x:c r="A245" s="2" t="str">
        <x:v>SIM-202607-005</x:v>
      </x:c>
      <x:c r="B245" s="8" t="n">
        <x:v>46206</x:v>
      </x:c>
      <x:c r="C245" s="9" t="n">
        <x:v>0.7520833333333333</x:v>
      </x:c>
      <x:c r="D245" s="2" t="n">
        <x:v>1</x:v>
      </x:c>
      <x:c r="E245" s="10" t="n">
        <x:v>32000</x:v>
      </x:c>
      <x:c r="F245" s="20" t="str">
        <x:v>Simulado</x:v>
      </x:c>
      <x:c r="G245" s="11" t="n">
        <x:f>DATE(YEAR(B245),MONTH(B245),1)</x:f>
        <x:v>46204</x:v>
      </x:c>
      <x:c r="H245" s="2" t="n">
        <x:f>WEEKDAY(B245,2)</x:f>
        <x:v>5</x:v>
      </x:c>
      <x:c r="I245" s="2" t="n">
        <x:f>IF(COUNTIFS($B$7:B245,B245)=1,1,0)</x:f>
        <x:v>1</x:v>
      </x:c>
      <x:c r="J245" s="2" t="n">
        <x:f>IF(COUNTIFS('Detalle'!$A$7:$A$923,A245,'Detalle'!$B$7:$B$923,"Gaseosas")&gt;0,1,0)</x:f>
        <x:v>1</x:v>
      </x:c>
    </x:row>
    <x:row r="246" ht="23" customHeight="1">
      <x:c r="A246" s="2" t="str">
        <x:v>SIM-202607-006</x:v>
      </x:c>
      <x:c r="B246" s="8" t="n">
        <x:v>46206</x:v>
      </x:c>
      <x:c r="C246" s="9" t="n">
        <x:v>0.7819444444444444</x:v>
      </x:c>
      <x:c r="D246" s="2" t="n">
        <x:v>4</x:v>
      </x:c>
      <x:c r="E246" s="10" t="n">
        <x:v>20000</x:v>
      </x:c>
      <x:c r="F246" s="20" t="str">
        <x:v>Simulado</x:v>
      </x:c>
      <x:c r="G246" s="11" t="n">
        <x:f>DATE(YEAR(B246),MONTH(B246),1)</x:f>
        <x:v>46204</x:v>
      </x:c>
      <x:c r="H246" s="2" t="n">
        <x:f>WEEKDAY(B246,2)</x:f>
        <x:v>5</x:v>
      </x:c>
      <x:c r="I246" s="2" t="n">
        <x:f>IF(COUNTIFS($B$7:B246,B246)=1,1,0)</x:f>
        <x:v>0</x:v>
      </x:c>
      <x:c r="J246" s="2" t="n">
        <x:f>IF(COUNTIFS('Detalle'!$A$7:$A$923,A246,'Detalle'!$B$7:$B$923,"Gaseosas")&gt;0,1,0)</x:f>
        <x:v>1</x:v>
      </x:c>
    </x:row>
    <x:row r="247" ht="23" customHeight="1">
      <x:c r="A247" s="2" t="str">
        <x:v>SIM-202607-007</x:v>
      </x:c>
      <x:c r="B247" s="8" t="n">
        <x:v>46206</x:v>
      </x:c>
      <x:c r="C247" s="9" t="n">
        <x:v>0.7868055555555555</x:v>
      </x:c>
      <x:c r="D247" s="2" t="n">
        <x:v>3</x:v>
      </x:c>
      <x:c r="E247" s="10" t="n">
        <x:v>57000</x:v>
      </x:c>
      <x:c r="F247" s="20" t="str">
        <x:v>Simulado</x:v>
      </x:c>
      <x:c r="G247" s="11" t="n">
        <x:f>DATE(YEAR(B247),MONTH(B247),1)</x:f>
        <x:v>46204</x:v>
      </x:c>
      <x:c r="H247" s="2" t="n">
        <x:f>WEEKDAY(B247,2)</x:f>
        <x:v>5</x:v>
      </x:c>
      <x:c r="I247" s="2" t="n">
        <x:f>IF(COUNTIFS($B$7:B247,B247)=1,1,0)</x:f>
        <x:v>0</x:v>
      </x:c>
      <x:c r="J247" s="2" t="n">
        <x:f>IF(COUNTIFS('Detalle'!$A$7:$A$923,A247,'Detalle'!$B$7:$B$923,"Gaseosas")&gt;0,1,0)</x:f>
        <x:v>1</x:v>
      </x:c>
    </x:row>
    <x:row r="248" ht="23" customHeight="1">
      <x:c r="A248" s="2" t="str">
        <x:v>SIM-202607-008</x:v>
      </x:c>
      <x:c r="B248" s="8" t="n">
        <x:v>46206</x:v>
      </x:c>
      <x:c r="C248" s="9" t="n">
        <x:v>0.8208333333333333</x:v>
      </x:c>
      <x:c r="D248" s="2" t="n">
        <x:v>3</x:v>
      </x:c>
      <x:c r="E248" s="10" t="n">
        <x:v>45000</x:v>
      </x:c>
      <x:c r="F248" s="20" t="str">
        <x:v>Simulado</x:v>
      </x:c>
      <x:c r="G248" s="11" t="n">
        <x:f>DATE(YEAR(B248),MONTH(B248),1)</x:f>
        <x:v>46204</x:v>
      </x:c>
      <x:c r="H248" s="2" t="n">
        <x:f>WEEKDAY(B248,2)</x:f>
        <x:v>5</x:v>
      </x:c>
      <x:c r="I248" s="2" t="n">
        <x:f>IF(COUNTIFS($B$7:B248,B248)=1,1,0)</x:f>
        <x:v>0</x:v>
      </x:c>
      <x:c r="J248" s="2" t="n">
        <x:f>IF(COUNTIFS('Detalle'!$A$7:$A$923,A248,'Detalle'!$B$7:$B$923,"Gaseosas")&gt;0,1,0)</x:f>
        <x:v>1</x:v>
      </x:c>
    </x:row>
    <x:row r="249" ht="23" customHeight="1">
      <x:c r="A249" s="2" t="str">
        <x:v>SIM-202607-009</x:v>
      </x:c>
      <x:c r="B249" s="8" t="n">
        <x:v>46207</x:v>
      </x:c>
      <x:c r="C249" s="9" t="n">
        <x:v>0.8222222222222222</x:v>
      </x:c>
      <x:c r="D249" s="2" t="n">
        <x:v>3</x:v>
      </x:c>
      <x:c r="E249" s="10" t="n">
        <x:v>15000</x:v>
      </x:c>
      <x:c r="F249" s="20" t="str">
        <x:v>Simulado</x:v>
      </x:c>
      <x:c r="G249" s="11" t="n">
        <x:f>DATE(YEAR(B249),MONTH(B249),1)</x:f>
        <x:v>46204</x:v>
      </x:c>
      <x:c r="H249" s="2" t="n">
        <x:f>WEEKDAY(B249,2)</x:f>
        <x:v>6</x:v>
      </x:c>
      <x:c r="I249" s="2" t="n">
        <x:f>IF(COUNTIFS($B$7:B249,B249)=1,1,0)</x:f>
        <x:v>1</x:v>
      </x:c>
      <x:c r="J249" s="2" t="n">
        <x:f>IF(COUNTIFS('Detalle'!$A$7:$A$923,A249,'Detalle'!$B$7:$B$923,"Gaseosas")&gt;0,1,0)</x:f>
        <x:v>0</x:v>
      </x:c>
    </x:row>
    <x:row r="250" ht="23" customHeight="1">
      <x:c r="A250" s="2" t="str">
        <x:v>SIM-202607-010</x:v>
      </x:c>
      <x:c r="B250" s="8" t="n">
        <x:v>46207</x:v>
      </x:c>
      <x:c r="C250" s="9" t="n">
        <x:v>0.8527777777777777</x:v>
      </x:c>
      <x:c r="D250" s="2" t="n">
        <x:v>1</x:v>
      </x:c>
      <x:c r="E250" s="10" t="n">
        <x:v>20000</x:v>
      </x:c>
      <x:c r="F250" s="20" t="str">
        <x:v>Simulado</x:v>
      </x:c>
      <x:c r="G250" s="11" t="n">
        <x:f>DATE(YEAR(B250),MONTH(B250),1)</x:f>
        <x:v>46204</x:v>
      </x:c>
      <x:c r="H250" s="2" t="n">
        <x:f>WEEKDAY(B250,2)</x:f>
        <x:v>6</x:v>
      </x:c>
      <x:c r="I250" s="2" t="n">
        <x:f>IF(COUNTIFS($B$7:B250,B250)=1,1,0)</x:f>
        <x:v>0</x:v>
      </x:c>
      <x:c r="J250" s="2" t="n">
        <x:f>IF(COUNTIFS('Detalle'!$A$7:$A$923,A250,'Detalle'!$B$7:$B$923,"Gaseosas")&gt;0,1,0)</x:f>
        <x:v>1</x:v>
      </x:c>
    </x:row>
    <x:row r="251" ht="23" customHeight="1">
      <x:c r="A251" s="2" t="str">
        <x:v>SIM-202607-011</x:v>
      </x:c>
      <x:c r="B251" s="8" t="n">
        <x:v>46207</x:v>
      </x:c>
      <x:c r="C251" s="9" t="n">
        <x:v>0.9131944444444444</x:v>
      </x:c>
      <x:c r="D251" s="2" t="n">
        <x:v>2</x:v>
      </x:c>
      <x:c r="E251" s="10" t="n">
        <x:v>40000</x:v>
      </x:c>
      <x:c r="F251" s="20" t="str">
        <x:v>Simulado</x:v>
      </x:c>
      <x:c r="G251" s="11" t="n">
        <x:f>DATE(YEAR(B251),MONTH(B251),1)</x:f>
        <x:v>46204</x:v>
      </x:c>
      <x:c r="H251" s="2" t="n">
        <x:f>WEEKDAY(B251,2)</x:f>
        <x:v>6</x:v>
      </x:c>
      <x:c r="I251" s="2" t="n">
        <x:f>IF(COUNTIFS($B$7:B251,B251)=1,1,0)</x:f>
        <x:v>0</x:v>
      </x:c>
      <x:c r="J251" s="2" t="n">
        <x:f>IF(COUNTIFS('Detalle'!$A$7:$A$923,A251,'Detalle'!$B$7:$B$923,"Gaseosas")&gt;0,1,0)</x:f>
        <x:v>1</x:v>
      </x:c>
    </x:row>
    <x:row r="252" ht="23" customHeight="1">
      <x:c r="A252" s="2" t="str">
        <x:v>SIM-202607-012</x:v>
      </x:c>
      <x:c r="B252" s="8" t="n">
        <x:v>46208</x:v>
      </x:c>
      <x:c r="C252" s="9" t="n">
        <x:v>0.8055555555555556</x:v>
      </x:c>
      <x:c r="D252" s="2" t="n">
        <x:v>4</x:v>
      </x:c>
      <x:c r="E252" s="10" t="n">
        <x:v>45000</x:v>
      </x:c>
      <x:c r="F252" s="20" t="str">
        <x:v>Simulado</x:v>
      </x:c>
      <x:c r="G252" s="11" t="n">
        <x:f>DATE(YEAR(B252),MONTH(B252),1)</x:f>
        <x:v>46204</x:v>
      </x:c>
      <x:c r="H252" s="2" t="n">
        <x:f>WEEKDAY(B252,2)</x:f>
        <x:v>7</x:v>
      </x:c>
      <x:c r="I252" s="2" t="n">
        <x:f>IF(COUNTIFS($B$7:B252,B252)=1,1,0)</x:f>
        <x:v>1</x:v>
      </x:c>
      <x:c r="J252" s="2" t="n">
        <x:f>IF(COUNTIFS('Detalle'!$A$7:$A$923,A252,'Detalle'!$B$7:$B$923,"Gaseosas")&gt;0,1,0)</x:f>
        <x:v>1</x:v>
      </x:c>
    </x:row>
    <x:row r="253" ht="23" customHeight="1">
      <x:c r="A253" s="2" t="str">
        <x:v>SIM-202607-013</x:v>
      </x:c>
      <x:c r="B253" s="8" t="n">
        <x:v>46208</x:v>
      </x:c>
      <x:c r="C253" s="9" t="n">
        <x:v>0.9131944444444444</x:v>
      </x:c>
      <x:c r="D253" s="2" t="n">
        <x:v>2</x:v>
      </x:c>
      <x:c r="E253" s="10" t="n">
        <x:v>37000</x:v>
      </x:c>
      <x:c r="F253" s="20" t="str">
        <x:v>Simulado</x:v>
      </x:c>
      <x:c r="G253" s="11" t="n">
        <x:f>DATE(YEAR(B253),MONTH(B253),1)</x:f>
        <x:v>46204</x:v>
      </x:c>
      <x:c r="H253" s="2" t="n">
        <x:f>WEEKDAY(B253,2)</x:f>
        <x:v>7</x:v>
      </x:c>
      <x:c r="I253" s="2" t="n">
        <x:f>IF(COUNTIFS($B$7:B253,B253)=1,1,0)</x:f>
        <x:v>0</x:v>
      </x:c>
      <x:c r="J253" s="2" t="n">
        <x:f>IF(COUNTIFS('Detalle'!$A$7:$A$923,A253,'Detalle'!$B$7:$B$923,"Gaseosas")&gt;0,1,0)</x:f>
        <x:v>1</x:v>
      </x:c>
    </x:row>
    <x:row r="254" ht="23" customHeight="1">
      <x:c r="A254" s="2" t="str">
        <x:v>SIM-202607-014</x:v>
      </x:c>
      <x:c r="B254" s="8" t="n">
        <x:v>46210</x:v>
      </x:c>
      <x:c r="C254" s="9" t="n">
        <x:v>0.8979166666666667</x:v>
      </x:c>
      <x:c r="D254" s="2" t="n">
        <x:v>4</x:v>
      </x:c>
      <x:c r="E254" s="10" t="n">
        <x:v>13000</x:v>
      </x:c>
      <x:c r="F254" s="20" t="str">
        <x:v>Simulado</x:v>
      </x:c>
      <x:c r="G254" s="11" t="n">
        <x:f>DATE(YEAR(B254),MONTH(B254),1)</x:f>
        <x:v>46204</x:v>
      </x:c>
      <x:c r="H254" s="2" t="n">
        <x:f>WEEKDAY(B254,2)</x:f>
        <x:v>2</x:v>
      </x:c>
      <x:c r="I254" s="2" t="n">
        <x:f>IF(COUNTIFS($B$7:B254,B254)=1,1,0)</x:f>
        <x:v>1</x:v>
      </x:c>
      <x:c r="J254" s="2" t="n">
        <x:f>IF(COUNTIFS('Detalle'!$A$7:$A$923,A254,'Detalle'!$B$7:$B$923,"Gaseosas")&gt;0,1,0)</x:f>
        <x:v>0</x:v>
      </x:c>
    </x:row>
    <x:row r="255" ht="23" customHeight="1">
      <x:c r="A255" s="2" t="str">
        <x:v>SIM-202607-015</x:v>
      </x:c>
      <x:c r="B255" s="8" t="n">
        <x:v>46212</x:v>
      </x:c>
      <x:c r="C255" s="9" t="n">
        <x:v>0.8006944444444445</x:v>
      </x:c>
      <x:c r="D255" s="2" t="n">
        <x:v>4</x:v>
      </x:c>
      <x:c r="E255" s="10" t="n">
        <x:v>13000</x:v>
      </x:c>
      <x:c r="F255" s="20" t="str">
        <x:v>Simulado</x:v>
      </x:c>
      <x:c r="G255" s="11" t="n">
        <x:f>DATE(YEAR(B255),MONTH(B255),1)</x:f>
        <x:v>46204</x:v>
      </x:c>
      <x:c r="H255" s="2" t="n">
        <x:f>WEEKDAY(B255,2)</x:f>
        <x:v>4</x:v>
      </x:c>
      <x:c r="I255" s="2" t="n">
        <x:f>IF(COUNTIFS($B$7:B255,B255)=1,1,0)</x:f>
        <x:v>1</x:v>
      </x:c>
      <x:c r="J255" s="2" t="n">
        <x:f>IF(COUNTIFS('Detalle'!$A$7:$A$923,A255,'Detalle'!$B$7:$B$923,"Gaseosas")&gt;0,1,0)</x:f>
        <x:v>0</x:v>
      </x:c>
    </x:row>
    <x:row r="256" ht="23" customHeight="1">
      <x:c r="A256" s="2" t="str">
        <x:v>SIM-202607-016</x:v>
      </x:c>
      <x:c r="B256" s="8" t="n">
        <x:v>46212</x:v>
      </x:c>
      <x:c r="C256" s="9" t="n">
        <x:v>0.8645833333333334</x:v>
      </x:c>
      <x:c r="D256" s="2" t="n">
        <x:v>2</x:v>
      </x:c>
      <x:c r="E256" s="10" t="n">
        <x:v>40000</x:v>
      </x:c>
      <x:c r="F256" s="20" t="str">
        <x:v>Simulado</x:v>
      </x:c>
      <x:c r="G256" s="11" t="n">
        <x:f>DATE(YEAR(B256),MONTH(B256),1)</x:f>
        <x:v>46204</x:v>
      </x:c>
      <x:c r="H256" s="2" t="n">
        <x:f>WEEKDAY(B256,2)</x:f>
        <x:v>4</x:v>
      </x:c>
      <x:c r="I256" s="2" t="n">
        <x:f>IF(COUNTIFS($B$7:B256,B256)=1,1,0)</x:f>
        <x:v>0</x:v>
      </x:c>
      <x:c r="J256" s="2" t="n">
        <x:f>IF(COUNTIFS('Detalle'!$A$7:$A$923,A256,'Detalle'!$B$7:$B$923,"Gaseosas")&gt;0,1,0)</x:f>
        <x:v>1</x:v>
      </x:c>
    </x:row>
    <x:row r="257" ht="23" customHeight="1">
      <x:c r="A257" s="2" t="str">
        <x:v>SIM-202607-017</x:v>
      </x:c>
      <x:c r="B257" s="8" t="n">
        <x:v>46213</x:v>
      </x:c>
      <x:c r="C257" s="9" t="n">
        <x:v>0.7659722222222223</x:v>
      </x:c>
      <x:c r="D257" s="2" t="n">
        <x:v>3</x:v>
      </x:c>
      <x:c r="E257" s="10" t="n">
        <x:v>15000</x:v>
      </x:c>
      <x:c r="F257" s="20" t="str">
        <x:v>Simulado</x:v>
      </x:c>
      <x:c r="G257" s="11" t="n">
        <x:f>DATE(YEAR(B257),MONTH(B257),1)</x:f>
        <x:v>46204</x:v>
      </x:c>
      <x:c r="H257" s="2" t="n">
        <x:f>WEEKDAY(B257,2)</x:f>
        <x:v>5</x:v>
      </x:c>
      <x:c r="I257" s="2" t="n">
        <x:f>IF(COUNTIFS($B$7:B257,B257)=1,1,0)</x:f>
        <x:v>1</x:v>
      </x:c>
      <x:c r="J257" s="2" t="n">
        <x:f>IF(COUNTIFS('Detalle'!$A$7:$A$923,A257,'Detalle'!$B$7:$B$923,"Gaseosas")&gt;0,1,0)</x:f>
        <x:v>0</x:v>
      </x:c>
    </x:row>
    <x:row r="258" ht="23" customHeight="1">
      <x:c r="A258" s="2" t="str">
        <x:v>SIM-202607-018</x:v>
      </x:c>
      <x:c r="B258" s="8" t="n">
        <x:v>46213</x:v>
      </x:c>
      <x:c r="C258" s="9" t="n">
        <x:v>0.7965277777777777</x:v>
      </x:c>
      <x:c r="D258" s="2" t="n">
        <x:v>4</x:v>
      </x:c>
      <x:c r="E258" s="10" t="n">
        <x:v>78000</x:v>
      </x:c>
      <x:c r="F258" s="20" t="str">
        <x:v>Simulado</x:v>
      </x:c>
      <x:c r="G258" s="11" t="n">
        <x:f>DATE(YEAR(B258),MONTH(B258),1)</x:f>
        <x:v>46204</x:v>
      </x:c>
      <x:c r="H258" s="2" t="n">
        <x:f>WEEKDAY(B258,2)</x:f>
        <x:v>5</x:v>
      </x:c>
      <x:c r="I258" s="2" t="n">
        <x:f>IF(COUNTIFS($B$7:B258,B258)=1,1,0)</x:f>
        <x:v>0</x:v>
      </x:c>
      <x:c r="J258" s="2" t="n">
        <x:f>IF(COUNTIFS('Detalle'!$A$7:$A$923,A258,'Detalle'!$B$7:$B$923,"Gaseosas")&gt;0,1,0)</x:f>
        <x:v>1</x:v>
      </x:c>
    </x:row>
    <x:row r="259" ht="23" customHeight="1">
      <x:c r="A259" s="2" t="str">
        <x:v>SIM-202607-019</x:v>
      </x:c>
      <x:c r="B259" s="8" t="n">
        <x:v>46214</x:v>
      </x:c>
      <x:c r="C259" s="9" t="n">
        <x:v>0.7340277777777777</x:v>
      </x:c>
      <x:c r="D259" s="2" t="n">
        <x:v>1</x:v>
      </x:c>
      <x:c r="E259" s="10" t="n">
        <x:v>18000</x:v>
      </x:c>
      <x:c r="F259" s="20" t="str">
        <x:v>Simulado</x:v>
      </x:c>
      <x:c r="G259" s="11" t="n">
        <x:f>DATE(YEAR(B259),MONTH(B259),1)</x:f>
        <x:v>46204</x:v>
      </x:c>
      <x:c r="H259" s="2" t="n">
        <x:f>WEEKDAY(B259,2)</x:f>
        <x:v>6</x:v>
      </x:c>
      <x:c r="I259" s="2" t="n">
        <x:f>IF(COUNTIFS($B$7:B259,B259)=1,1,0)</x:f>
        <x:v>1</x:v>
      </x:c>
      <x:c r="J259" s="2" t="n">
        <x:f>IF(COUNTIFS('Detalle'!$A$7:$A$923,A259,'Detalle'!$B$7:$B$923,"Gaseosas")&gt;0,1,0)</x:f>
        <x:v>1</x:v>
      </x:c>
    </x:row>
    <x:row r="260" ht="23" customHeight="1">
      <x:c r="A260" s="2" t="str">
        <x:v>SIM-202607-020</x:v>
      </x:c>
      <x:c r="B260" s="8" t="n">
        <x:v>46214</x:v>
      </x:c>
      <x:c r="C260" s="9" t="n">
        <x:v>0.7534722222222222</x:v>
      </x:c>
      <x:c r="D260" s="2" t="n">
        <x:v>3</x:v>
      </x:c>
      <x:c r="E260" s="10" t="n">
        <x:v>65000</x:v>
      </x:c>
      <x:c r="F260" s="20" t="str">
        <x:v>Simulado</x:v>
      </x:c>
      <x:c r="G260" s="11" t="n">
        <x:f>DATE(YEAR(B260),MONTH(B260),1)</x:f>
        <x:v>46204</x:v>
      </x:c>
      <x:c r="H260" s="2" t="n">
        <x:f>WEEKDAY(B260,2)</x:f>
        <x:v>6</x:v>
      </x:c>
      <x:c r="I260" s="2" t="n">
        <x:f>IF(COUNTIFS($B$7:B260,B260)=1,1,0)</x:f>
        <x:v>0</x:v>
      </x:c>
      <x:c r="J260" s="2" t="n">
        <x:f>IF(COUNTIFS('Detalle'!$A$7:$A$923,A260,'Detalle'!$B$7:$B$923,"Gaseosas")&gt;0,1,0)</x:f>
        <x:v>1</x:v>
      </x:c>
    </x:row>
    <x:row r="261" ht="23" customHeight="1">
      <x:c r="A261" s="2" t="str">
        <x:v>SIM-202607-021</x:v>
      </x:c>
      <x:c r="B261" s="8" t="n">
        <x:v>46214</x:v>
      </x:c>
      <x:c r="C261" s="9" t="n">
        <x:v>0.7576388888888889</x:v>
      </x:c>
      <x:c r="D261" s="2" t="n">
        <x:v>2</x:v>
      </x:c>
      <x:c r="E261" s="10" t="n">
        <x:v>18000</x:v>
      </x:c>
      <x:c r="F261" s="20" t="str">
        <x:v>Simulado</x:v>
      </x:c>
      <x:c r="G261" s="11" t="n">
        <x:f>DATE(YEAR(B261),MONTH(B261),1)</x:f>
        <x:v>46204</x:v>
      </x:c>
      <x:c r="H261" s="2" t="n">
        <x:f>WEEKDAY(B261,2)</x:f>
        <x:v>6</x:v>
      </x:c>
      <x:c r="I261" s="2" t="n">
        <x:f>IF(COUNTIFS($B$7:B261,B261)=1,1,0)</x:f>
        <x:v>0</x:v>
      </x:c>
      <x:c r="J261" s="2" t="n">
        <x:f>IF(COUNTIFS('Detalle'!$A$7:$A$923,A261,'Detalle'!$B$7:$B$923,"Gaseosas")&gt;0,1,0)</x:f>
        <x:v>1</x:v>
      </x:c>
    </x:row>
    <x:row r="262" ht="23" customHeight="1">
      <x:c r="A262" s="2" t="str">
        <x:v>SIM-202607-022</x:v>
      </x:c>
      <x:c r="B262" s="8" t="n">
        <x:v>46214</x:v>
      </x:c>
      <x:c r="C262" s="9" t="n">
        <x:v>0.90625</x:v>
      </x:c>
      <x:c r="D262" s="2" t="n">
        <x:v>1</x:v>
      </x:c>
      <x:c r="E262" s="10" t="n">
        <x:v>32000</x:v>
      </x:c>
      <x:c r="F262" s="20" t="str">
        <x:v>Simulado</x:v>
      </x:c>
      <x:c r="G262" s="11" t="n">
        <x:f>DATE(YEAR(B262),MONTH(B262),1)</x:f>
        <x:v>46204</x:v>
      </x:c>
      <x:c r="H262" s="2" t="n">
        <x:f>WEEKDAY(B262,2)</x:f>
        <x:v>6</x:v>
      </x:c>
      <x:c r="I262" s="2" t="n">
        <x:f>IF(COUNTIFS($B$7:B262,B262)=1,1,0)</x:f>
        <x:v>0</x:v>
      </x:c>
      <x:c r="J262" s="2" t="n">
        <x:f>IF(COUNTIFS('Detalle'!$A$7:$A$923,A262,'Detalle'!$B$7:$B$923,"Gaseosas")&gt;0,1,0)</x:f>
        <x:v>1</x:v>
      </x:c>
    </x:row>
    <x:row r="263" ht="23" customHeight="1">
      <x:c r="A263" s="2" t="str">
        <x:v>SIM-202607-023</x:v>
      </x:c>
      <x:c r="B263" s="8" t="n">
        <x:v>46215</x:v>
      </x:c>
      <x:c r="C263" s="9" t="n">
        <x:v>0.7791666666666667</x:v>
      </x:c>
      <x:c r="D263" s="2" t="n">
        <x:v>1</x:v>
      </x:c>
      <x:c r="E263" s="10" t="n">
        <x:v>17000</x:v>
      </x:c>
      <x:c r="F263" s="20" t="str">
        <x:v>Simulado</x:v>
      </x:c>
      <x:c r="G263" s="11" t="n">
        <x:f>DATE(YEAR(B263),MONTH(B263),1)</x:f>
        <x:v>46204</x:v>
      </x:c>
      <x:c r="H263" s="2" t="n">
        <x:f>WEEKDAY(B263,2)</x:f>
        <x:v>7</x:v>
      </x:c>
      <x:c r="I263" s="2" t="n">
        <x:f>IF(COUNTIFS($B$7:B263,B263)=1,1,0)</x:f>
        <x:v>1</x:v>
      </x:c>
      <x:c r="J263" s="2" t="n">
        <x:f>IF(COUNTIFS('Detalle'!$A$7:$A$923,A263,'Detalle'!$B$7:$B$923,"Gaseosas")&gt;0,1,0)</x:f>
        <x:v>1</x:v>
      </x:c>
    </x:row>
    <x:row r="264" ht="23" customHeight="1">
      <x:c r="A264" s="2" t="str">
        <x:v>SIM-202607-024</x:v>
      </x:c>
      <x:c r="B264" s="8" t="n">
        <x:v>46215</x:v>
      </x:c>
      <x:c r="C264" s="9" t="n">
        <x:v>0.83125</x:v>
      </x:c>
      <x:c r="D264" s="2" t="n">
        <x:v>1</x:v>
      </x:c>
      <x:c r="E264" s="10" t="n">
        <x:v>18000</x:v>
      </x:c>
      <x:c r="F264" s="20" t="str">
        <x:v>Simulado</x:v>
      </x:c>
      <x:c r="G264" s="11" t="n">
        <x:f>DATE(YEAR(B264),MONTH(B264),1)</x:f>
        <x:v>46204</x:v>
      </x:c>
      <x:c r="H264" s="2" t="n">
        <x:f>WEEKDAY(B264,2)</x:f>
        <x:v>7</x:v>
      </x:c>
      <x:c r="I264" s="2" t="n">
        <x:f>IF(COUNTIFS($B$7:B264,B264)=1,1,0)</x:f>
        <x:v>0</x:v>
      </x:c>
      <x:c r="J264" s="2" t="n">
        <x:f>IF(COUNTIFS('Detalle'!$A$7:$A$923,A264,'Detalle'!$B$7:$B$923,"Gaseosas")&gt;0,1,0)</x:f>
        <x:v>1</x:v>
      </x:c>
    </x:row>
    <x:row r="265" ht="23" customHeight="1">
      <x:c r="A265" s="2" t="str">
        <x:v>SIM-202607-025</x:v>
      </x:c>
      <x:c r="B265" s="8" t="n">
        <x:v>46217</x:v>
      </x:c>
      <x:c r="C265" s="9" t="n">
        <x:v>0.8145833333333333</x:v>
      </x:c>
      <x:c r="D265" s="2" t="n">
        <x:v>3</x:v>
      </x:c>
      <x:c r="E265" s="10" t="n">
        <x:v>15000</x:v>
      </x:c>
      <x:c r="F265" s="20" t="str">
        <x:v>Simulado</x:v>
      </x:c>
      <x:c r="G265" s="11" t="n">
        <x:f>DATE(YEAR(B265),MONTH(B265),1)</x:f>
        <x:v>46204</x:v>
      </x:c>
      <x:c r="H265" s="2" t="n">
        <x:f>WEEKDAY(B265,2)</x:f>
        <x:v>2</x:v>
      </x:c>
      <x:c r="I265" s="2" t="n">
        <x:f>IF(COUNTIFS($B$7:B265,B265)=1,1,0)</x:f>
        <x:v>1</x:v>
      </x:c>
      <x:c r="J265" s="2" t="n">
        <x:f>IF(COUNTIFS('Detalle'!$A$7:$A$923,A265,'Detalle'!$B$7:$B$923,"Gaseosas")&gt;0,1,0)</x:f>
        <x:v>0</x:v>
      </x:c>
    </x:row>
    <x:row r="266" ht="23" customHeight="1">
      <x:c r="A266" s="2" t="str">
        <x:v>SIM-202607-026</x:v>
      </x:c>
      <x:c r="B266" s="8" t="n">
        <x:v>46218</x:v>
      </x:c>
      <x:c r="C266" s="9" t="n">
        <x:v>0.7576388888888889</x:v>
      </x:c>
      <x:c r="D266" s="2" t="n">
        <x:v>1</x:v>
      </x:c>
      <x:c r="E266" s="10" t="n">
        <x:v>25000</x:v>
      </x:c>
      <x:c r="F266" s="20" t="str">
        <x:v>Simulado</x:v>
      </x:c>
      <x:c r="G266" s="11" t="n">
        <x:f>DATE(YEAR(B266),MONTH(B266),1)</x:f>
        <x:v>46204</x:v>
      </x:c>
      <x:c r="H266" s="2" t="n">
        <x:f>WEEKDAY(B266,2)</x:f>
        <x:v>3</x:v>
      </x:c>
      <x:c r="I266" s="2" t="n">
        <x:f>IF(COUNTIFS($B$7:B266,B266)=1,1,0)</x:f>
        <x:v>1</x:v>
      </x:c>
      <x:c r="J266" s="2" t="n">
        <x:f>IF(COUNTIFS('Detalle'!$A$7:$A$923,A266,'Detalle'!$B$7:$B$923,"Gaseosas")&gt;0,1,0)</x:f>
        <x:v>1</x:v>
      </x:c>
    </x:row>
    <x:row r="267" ht="23" customHeight="1">
      <x:c r="A267" s="2" t="str">
        <x:v>SIM-202607-027</x:v>
      </x:c>
      <x:c r="B267" s="8" t="n">
        <x:v>46220</x:v>
      </x:c>
      <x:c r="C267" s="9" t="n">
        <x:v>0.8465277777777778</x:v>
      </x:c>
      <x:c r="D267" s="2" t="n">
        <x:v>4</x:v>
      </x:c>
      <x:c r="E267" s="10" t="n">
        <x:v>40000</x:v>
      </x:c>
      <x:c r="F267" s="20" t="str">
        <x:v>Simulado</x:v>
      </x:c>
      <x:c r="G267" s="11" t="n">
        <x:f>DATE(YEAR(B267),MONTH(B267),1)</x:f>
        <x:v>46204</x:v>
      </x:c>
      <x:c r="H267" s="2" t="n">
        <x:f>WEEKDAY(B267,2)</x:f>
        <x:v>5</x:v>
      </x:c>
      <x:c r="I267" s="2" t="n">
        <x:f>IF(COUNTIFS($B$7:B267,B267)=1,1,0)</x:f>
        <x:v>1</x:v>
      </x:c>
      <x:c r="J267" s="2" t="n">
        <x:f>IF(COUNTIFS('Detalle'!$A$7:$A$923,A267,'Detalle'!$B$7:$B$923,"Gaseosas")&gt;0,1,0)</x:f>
        <x:v>1</x:v>
      </x:c>
    </x:row>
    <x:row r="268" ht="23" customHeight="1">
      <x:c r="A268" s="2" t="str">
        <x:v>SIM-202607-028</x:v>
      </x:c>
      <x:c r="B268" s="8" t="n">
        <x:v>46221</x:v>
      </x:c>
      <x:c r="C268" s="9" t="n">
        <x:v>0.7354166666666667</x:v>
      </x:c>
      <x:c r="D268" s="2" t="n">
        <x:v>3</x:v>
      </x:c>
      <x:c r="E268" s="10" t="n">
        <x:v>20000</x:v>
      </x:c>
      <x:c r="F268" s="20" t="str">
        <x:v>Simulado</x:v>
      </x:c>
      <x:c r="G268" s="11" t="n">
        <x:f>DATE(YEAR(B268),MONTH(B268),1)</x:f>
        <x:v>46204</x:v>
      </x:c>
      <x:c r="H268" s="2" t="n">
        <x:f>WEEKDAY(B268,2)</x:f>
        <x:v>6</x:v>
      </x:c>
      <x:c r="I268" s="2" t="n">
        <x:f>IF(COUNTIFS($B$7:B268,B268)=1,1,0)</x:f>
        <x:v>1</x:v>
      </x:c>
      <x:c r="J268" s="2" t="n">
        <x:f>IF(COUNTIFS('Detalle'!$A$7:$A$923,A268,'Detalle'!$B$7:$B$923,"Gaseosas")&gt;0,1,0)</x:f>
        <x:v>1</x:v>
      </x:c>
    </x:row>
    <x:row r="269" ht="23" customHeight="1">
      <x:c r="A269" s="2" t="str">
        <x:v>SIM-202607-029</x:v>
      </x:c>
      <x:c r="B269" s="8" t="n">
        <x:v>46221</x:v>
      </x:c>
      <x:c r="C269" s="9" t="n">
        <x:v>0.8243055555555555</x:v>
      </x:c>
      <x:c r="D269" s="2" t="n">
        <x:v>2</x:v>
      </x:c>
      <x:c r="E269" s="10" t="n">
        <x:v>45000</x:v>
      </x:c>
      <x:c r="F269" s="20" t="str">
        <x:v>Simulado</x:v>
      </x:c>
      <x:c r="G269" s="11" t="n">
        <x:f>DATE(YEAR(B269),MONTH(B269),1)</x:f>
        <x:v>46204</x:v>
      </x:c>
      <x:c r="H269" s="2" t="n">
        <x:f>WEEKDAY(B269,2)</x:f>
        <x:v>6</x:v>
      </x:c>
      <x:c r="I269" s="2" t="n">
        <x:f>IF(COUNTIFS($B$7:B269,B269)=1,1,0)</x:f>
        <x:v>0</x:v>
      </x:c>
      <x:c r="J269" s="2" t="n">
        <x:f>IF(COUNTIFS('Detalle'!$A$7:$A$923,A269,'Detalle'!$B$7:$B$923,"Gaseosas")&gt;0,1,0)</x:f>
        <x:v>1</x:v>
      </x:c>
    </x:row>
    <x:row r="270" ht="23" customHeight="1">
      <x:c r="A270" s="2" t="str">
        <x:v>SIM-202607-030</x:v>
      </x:c>
      <x:c r="B270" s="8" t="n">
        <x:v>46221</x:v>
      </x:c>
      <x:c r="C270" s="9" t="n">
        <x:v>0.8465277777777778</x:v>
      </x:c>
      <x:c r="D270" s="2" t="n">
        <x:v>2</x:v>
      </x:c>
      <x:c r="E270" s="10" t="n">
        <x:v>35000</x:v>
      </x:c>
      <x:c r="F270" s="20" t="str">
        <x:v>Simulado</x:v>
      </x:c>
      <x:c r="G270" s="11" t="n">
        <x:f>DATE(YEAR(B270),MONTH(B270),1)</x:f>
        <x:v>46204</x:v>
      </x:c>
      <x:c r="H270" s="2" t="n">
        <x:f>WEEKDAY(B270,2)</x:f>
        <x:v>6</x:v>
      </x:c>
      <x:c r="I270" s="2" t="n">
        <x:f>IF(COUNTIFS($B$7:B270,B270)=1,1,0)</x:f>
        <x:v>0</x:v>
      </x:c>
      <x:c r="J270" s="2" t="n">
        <x:f>IF(COUNTIFS('Detalle'!$A$7:$A$923,A270,'Detalle'!$B$7:$B$923,"Gaseosas")&gt;0,1,0)</x:f>
        <x:v>1</x:v>
      </x:c>
    </x:row>
    <x:row r="271" ht="23" customHeight="1">
      <x:c r="A271" s="2" t="str">
        <x:v>SIM-202607-031</x:v>
      </x:c>
      <x:c r="B271" s="8" t="n">
        <x:v>46221</x:v>
      </x:c>
      <x:c r="C271" s="9" t="n">
        <x:v>0.9020833333333333</x:v>
      </x:c>
      <x:c r="D271" s="2" t="n">
        <x:v>2</x:v>
      </x:c>
      <x:c r="E271" s="10" t="n">
        <x:v>32000</x:v>
      </x:c>
      <x:c r="F271" s="20" t="str">
        <x:v>Simulado</x:v>
      </x:c>
      <x:c r="G271" s="11" t="n">
        <x:f>DATE(YEAR(B271),MONTH(B271),1)</x:f>
        <x:v>46204</x:v>
      </x:c>
      <x:c r="H271" s="2" t="n">
        <x:f>WEEKDAY(B271,2)</x:f>
        <x:v>6</x:v>
      </x:c>
      <x:c r="I271" s="2" t="n">
        <x:f>IF(COUNTIFS($B$7:B271,B271)=1,1,0)</x:f>
        <x:v>0</x:v>
      </x:c>
      <x:c r="J271" s="2" t="n">
        <x:f>IF(COUNTIFS('Detalle'!$A$7:$A$923,A271,'Detalle'!$B$7:$B$923,"Gaseosas")&gt;0,1,0)</x:f>
        <x:v>1</x:v>
      </x:c>
    </x:row>
    <x:row r="272" ht="23" customHeight="1">
      <x:c r="A272" s="2" t="str">
        <x:v>SIM-202607-032</x:v>
      </x:c>
      <x:c r="B272" s="8" t="n">
        <x:v>46222</x:v>
      </x:c>
      <x:c r="C272" s="9" t="n">
        <x:v>0.7680555555555556</x:v>
      </x:c>
      <x:c r="D272" s="2" t="n">
        <x:v>3</x:v>
      </x:c>
      <x:c r="E272" s="10" t="n">
        <x:v>45000</x:v>
      </x:c>
      <x:c r="F272" s="20" t="str">
        <x:v>Simulado</x:v>
      </x:c>
      <x:c r="G272" s="11" t="n">
        <x:f>DATE(YEAR(B272),MONTH(B272),1)</x:f>
        <x:v>46204</x:v>
      </x:c>
      <x:c r="H272" s="2" t="n">
        <x:f>WEEKDAY(B272,2)</x:f>
        <x:v>7</x:v>
      </x:c>
      <x:c r="I272" s="2" t="n">
        <x:f>IF(COUNTIFS($B$7:B272,B272)=1,1,0)</x:f>
        <x:v>1</x:v>
      </x:c>
      <x:c r="J272" s="2" t="n">
        <x:f>IF(COUNTIFS('Detalle'!$A$7:$A$923,A272,'Detalle'!$B$7:$B$923,"Gaseosas")&gt;0,1,0)</x:f>
        <x:v>1</x:v>
      </x:c>
    </x:row>
    <x:row r="273" ht="23" customHeight="1">
      <x:c r="A273" s="2" t="str">
        <x:v>SIM-202607-033</x:v>
      </x:c>
      <x:c r="B273" s="8" t="n">
        <x:v>46222</x:v>
      </x:c>
      <x:c r="C273" s="9" t="n">
        <x:v>0.8131944444444444</x:v>
      </x:c>
      <x:c r="D273" s="2" t="n">
        <x:v>3</x:v>
      </x:c>
      <x:c r="E273" s="10" t="n">
        <x:v>15000</x:v>
      </x:c>
      <x:c r="F273" s="20" t="str">
        <x:v>Simulado</x:v>
      </x:c>
      <x:c r="G273" s="11" t="n">
        <x:f>DATE(YEAR(B273),MONTH(B273),1)</x:f>
        <x:v>46204</x:v>
      </x:c>
      <x:c r="H273" s="2" t="n">
        <x:f>WEEKDAY(B273,2)</x:f>
        <x:v>7</x:v>
      </x:c>
      <x:c r="I273" s="2" t="n">
        <x:f>IF(COUNTIFS($B$7:B273,B273)=1,1,0)</x:f>
        <x:v>0</x:v>
      </x:c>
      <x:c r="J273" s="2" t="n">
        <x:f>IF(COUNTIFS('Detalle'!$A$7:$A$923,A273,'Detalle'!$B$7:$B$923,"Gaseosas")&gt;0,1,0)</x:f>
        <x:v>0</x:v>
      </x:c>
    </x:row>
    <x:row r="274" ht="23" customHeight="1">
      <x:c r="A274" s="2" t="str">
        <x:v>SIM-202607-034</x:v>
      </x:c>
      <x:c r="B274" s="8" t="n">
        <x:v>46222</x:v>
      </x:c>
      <x:c r="C274" s="9" t="n">
        <x:v>0.8416666666666667</x:v>
      </x:c>
      <x:c r="D274" s="2" t="n">
        <x:v>4</x:v>
      </x:c>
      <x:c r="E274" s="10" t="n">
        <x:v>20000</x:v>
      </x:c>
      <x:c r="F274" s="20" t="str">
        <x:v>Simulado</x:v>
      </x:c>
      <x:c r="G274" s="11" t="n">
        <x:f>DATE(YEAR(B274),MONTH(B274),1)</x:f>
        <x:v>46204</x:v>
      </x:c>
      <x:c r="H274" s="2" t="n">
        <x:f>WEEKDAY(B274,2)</x:f>
        <x:v>7</x:v>
      </x:c>
      <x:c r="I274" s="2" t="n">
        <x:f>IF(COUNTIFS($B$7:B274,B274)=1,1,0)</x:f>
        <x:v>0</x:v>
      </x:c>
      <x:c r="J274" s="2" t="n">
        <x:f>IF(COUNTIFS('Detalle'!$A$7:$A$923,A274,'Detalle'!$B$7:$B$923,"Gaseosas")&gt;0,1,0)</x:f>
        <x:v>0</x:v>
      </x:c>
    </x:row>
    <x:row r="275" ht="23" customHeight="1">
      <x:c r="A275" s="2" t="str">
        <x:v>SIM-202607-035</x:v>
      </x:c>
      <x:c r="B275" s="8" t="n">
        <x:v>46224</x:v>
      </x:c>
      <x:c r="C275" s="9" t="n">
        <x:v>0.7444444444444445</x:v>
      </x:c>
      <x:c r="D275" s="2" t="n">
        <x:v>3</x:v>
      </x:c>
      <x:c r="E275" s="10" t="n">
        <x:v>18000</x:v>
      </x:c>
      <x:c r="F275" s="20" t="str">
        <x:v>Simulado</x:v>
      </x:c>
      <x:c r="G275" s="11" t="n">
        <x:f>DATE(YEAR(B275),MONTH(B275),1)</x:f>
        <x:v>46204</x:v>
      </x:c>
      <x:c r="H275" s="2" t="n">
        <x:f>WEEKDAY(B275,2)</x:f>
        <x:v>2</x:v>
      </x:c>
      <x:c r="I275" s="2" t="n">
        <x:f>IF(COUNTIFS($B$7:B275,B275)=1,1,0)</x:f>
        <x:v>1</x:v>
      </x:c>
      <x:c r="J275" s="2" t="n">
        <x:f>IF(COUNTIFS('Detalle'!$A$7:$A$923,A275,'Detalle'!$B$7:$B$923,"Gaseosas")&gt;0,1,0)</x:f>
        <x:v>1</x:v>
      </x:c>
    </x:row>
    <x:row r="276" ht="23" customHeight="1">
      <x:c r="A276" s="2" t="str">
        <x:v>SIM-202607-036</x:v>
      </x:c>
      <x:c r="B276" s="8" t="n">
        <x:v>46224</x:v>
      </x:c>
      <x:c r="C276" s="9" t="n">
        <x:v>0.8090277777777778</x:v>
      </x:c>
      <x:c r="D276" s="2" t="n">
        <x:v>2</x:v>
      </x:c>
      <x:c r="E276" s="10" t="n">
        <x:v>25000</x:v>
      </x:c>
      <x:c r="F276" s="20" t="str">
        <x:v>Simulado</x:v>
      </x:c>
      <x:c r="G276" s="11" t="n">
        <x:f>DATE(YEAR(B276),MONTH(B276),1)</x:f>
        <x:v>46204</x:v>
      </x:c>
      <x:c r="H276" s="2" t="n">
        <x:f>WEEKDAY(B276,2)</x:f>
        <x:v>2</x:v>
      </x:c>
      <x:c r="I276" s="2" t="n">
        <x:f>IF(COUNTIFS($B$7:B276,B276)=1,1,0)</x:f>
        <x:v>0</x:v>
      </x:c>
      <x:c r="J276" s="2" t="n">
        <x:f>IF(COUNTIFS('Detalle'!$A$7:$A$923,A276,'Detalle'!$B$7:$B$923,"Gaseosas")&gt;0,1,0)</x:f>
        <x:v>1</x:v>
      </x:c>
    </x:row>
    <x:row r="277" ht="23" customHeight="1">
      <x:c r="A277" s="2" t="str">
        <x:v>SIM-202607-037</x:v>
      </x:c>
      <x:c r="B277" s="8" t="n">
        <x:v>46225</x:v>
      </x:c>
      <x:c r="C277" s="9" t="n">
        <x:v>0.7576388888888889</x:v>
      </x:c>
      <x:c r="D277" s="2" t="n">
        <x:v>1</x:v>
      </x:c>
      <x:c r="E277" s="10" t="n">
        <x:v>18000</x:v>
      </x:c>
      <x:c r="F277" s="20" t="str">
        <x:v>Simulado</x:v>
      </x:c>
      <x:c r="G277" s="11" t="n">
        <x:f>DATE(YEAR(B277),MONTH(B277),1)</x:f>
        <x:v>46204</x:v>
      </x:c>
      <x:c r="H277" s="2" t="n">
        <x:f>WEEKDAY(B277,2)</x:f>
        <x:v>3</x:v>
      </x:c>
      <x:c r="I277" s="2" t="n">
        <x:f>IF(COUNTIFS($B$7:B277,B277)=1,1,0)</x:f>
        <x:v>1</x:v>
      </x:c>
      <x:c r="J277" s="2" t="n">
        <x:f>IF(COUNTIFS('Detalle'!$A$7:$A$923,A277,'Detalle'!$B$7:$B$923,"Gaseosas")&gt;0,1,0)</x:f>
        <x:v>1</x:v>
      </x:c>
    </x:row>
    <x:row r="278" ht="23" customHeight="1">
      <x:c r="A278" s="2" t="str">
        <x:v>SIM-202607-038</x:v>
      </x:c>
      <x:c r="B278" s="8" t="n">
        <x:v>46226</x:v>
      </x:c>
      <x:c r="C278" s="9" t="n">
        <x:v>0.7930555555555555</x:v>
      </x:c>
      <x:c r="D278" s="2" t="n">
        <x:v>2</x:v>
      </x:c>
      <x:c r="E278" s="10" t="n">
        <x:v>13000</x:v>
      </x:c>
      <x:c r="F278" s="20" t="str">
        <x:v>Simulado</x:v>
      </x:c>
      <x:c r="G278" s="11" t="n">
        <x:f>DATE(YEAR(B278),MONTH(B278),1)</x:f>
        <x:v>46204</x:v>
      </x:c>
      <x:c r="H278" s="2" t="n">
        <x:f>WEEKDAY(B278,2)</x:f>
        <x:v>4</x:v>
      </x:c>
      <x:c r="I278" s="2" t="n">
        <x:f>IF(COUNTIFS($B$7:B278,B278)=1,1,0)</x:f>
        <x:v>1</x:v>
      </x:c>
      <x:c r="J278" s="2" t="n">
        <x:f>IF(COUNTIFS('Detalle'!$A$7:$A$923,A278,'Detalle'!$B$7:$B$923,"Gaseosas")&gt;0,1,0)</x:f>
        <x:v>0</x:v>
      </x:c>
    </x:row>
    <x:row r="279" ht="23" customHeight="1">
      <x:c r="A279" s="2" t="str">
        <x:v>SIM-202607-039</x:v>
      </x:c>
      <x:c r="B279" s="8" t="n">
        <x:v>46227</x:v>
      </x:c>
      <x:c r="C279" s="9" t="n">
        <x:v>0.8236111111111111</x:v>
      </x:c>
      <x:c r="D279" s="2" t="n">
        <x:v>3</x:v>
      </x:c>
      <x:c r="E279" s="10" t="n">
        <x:v>37000</x:v>
      </x:c>
      <x:c r="F279" s="20" t="str">
        <x:v>Simulado</x:v>
      </x:c>
      <x:c r="G279" s="11" t="n">
        <x:f>DATE(YEAR(B279),MONTH(B279),1)</x:f>
        <x:v>46204</x:v>
      </x:c>
      <x:c r="H279" s="2" t="n">
        <x:f>WEEKDAY(B279,2)</x:f>
        <x:v>5</x:v>
      </x:c>
      <x:c r="I279" s="2" t="n">
        <x:f>IF(COUNTIFS($B$7:B279,B279)=1,1,0)</x:f>
        <x:v>1</x:v>
      </x:c>
      <x:c r="J279" s="2" t="n">
        <x:f>IF(COUNTIFS('Detalle'!$A$7:$A$923,A279,'Detalle'!$B$7:$B$923,"Gaseosas")&gt;0,1,0)</x:f>
        <x:v>1</x:v>
      </x:c>
    </x:row>
    <x:row r="280" ht="23" customHeight="1">
      <x:c r="A280" s="2" t="str">
        <x:v>SIM-202607-040</x:v>
      </x:c>
      <x:c r="B280" s="8" t="n">
        <x:v>46228</x:v>
      </x:c>
      <x:c r="C280" s="9" t="n">
        <x:v>0.8048611111111111</x:v>
      </x:c>
      <x:c r="D280" s="2" t="n">
        <x:v>2</x:v>
      </x:c>
      <x:c r="E280" s="10" t="n">
        <x:v>65000</x:v>
      </x:c>
      <x:c r="F280" s="20" t="str">
        <x:v>Simulado</x:v>
      </x:c>
      <x:c r="G280" s="11" t="n">
        <x:f>DATE(YEAR(B280),MONTH(B280),1)</x:f>
        <x:v>46204</x:v>
      </x:c>
      <x:c r="H280" s="2" t="n">
        <x:f>WEEKDAY(B280,2)</x:f>
        <x:v>6</x:v>
      </x:c>
      <x:c r="I280" s="2" t="n">
        <x:f>IF(COUNTIFS($B$7:B280,B280)=1,1,0)</x:f>
        <x:v>1</x:v>
      </x:c>
      <x:c r="J280" s="2" t="n">
        <x:f>IF(COUNTIFS('Detalle'!$A$7:$A$923,A280,'Detalle'!$B$7:$B$923,"Gaseosas")&gt;0,1,0)</x:f>
        <x:v>1</x:v>
      </x:c>
    </x:row>
    <x:row r="281" ht="23" customHeight="1">
      <x:c r="A281" s="2" t="str">
        <x:v>SIM-202607-041</x:v>
      </x:c>
      <x:c r="B281" s="8" t="n">
        <x:v>46228</x:v>
      </x:c>
      <x:c r="C281" s="9" t="n">
        <x:v>0.8236111111111111</x:v>
      </x:c>
      <x:c r="D281" s="2" t="n">
        <x:v>3</x:v>
      </x:c>
      <x:c r="E281" s="10" t="n">
        <x:v>36000</x:v>
      </x:c>
      <x:c r="F281" s="20" t="str">
        <x:v>Simulado</x:v>
      </x:c>
      <x:c r="G281" s="11" t="n">
        <x:f>DATE(YEAR(B281),MONTH(B281),1)</x:f>
        <x:v>46204</x:v>
      </x:c>
      <x:c r="H281" s="2" t="n">
        <x:f>WEEKDAY(B281,2)</x:f>
        <x:v>6</x:v>
      </x:c>
      <x:c r="I281" s="2" t="n">
        <x:f>IF(COUNTIFS($B$7:B281,B281)=1,1,0)</x:f>
        <x:v>0</x:v>
      </x:c>
      <x:c r="J281" s="2" t="n">
        <x:f>IF(COUNTIFS('Detalle'!$A$7:$A$923,A281,'Detalle'!$B$7:$B$923,"Gaseosas")&gt;0,1,0)</x:f>
        <x:v>1</x:v>
      </x:c>
    </x:row>
    <x:row r="282" ht="23" customHeight="1">
      <x:c r="A282" s="2" t="str">
        <x:v>SIM-202607-042</x:v>
      </x:c>
      <x:c r="B282" s="8" t="n">
        <x:v>46229</x:v>
      </x:c>
      <x:c r="C282" s="9" t="n">
        <x:v>0.80625</x:v>
      </x:c>
      <x:c r="D282" s="2" t="n">
        <x:v>4</x:v>
      </x:c>
      <x:c r="E282" s="10" t="n">
        <x:v>55000</x:v>
      </x:c>
      <x:c r="F282" s="20" t="str">
        <x:v>Simulado</x:v>
      </x:c>
      <x:c r="G282" s="11" t="n">
        <x:f>DATE(YEAR(B282),MONTH(B282),1)</x:f>
        <x:v>46204</x:v>
      </x:c>
      <x:c r="H282" s="2" t="n">
        <x:f>WEEKDAY(B282,2)</x:f>
        <x:v>7</x:v>
      </x:c>
      <x:c r="I282" s="2" t="n">
        <x:f>IF(COUNTIFS($B$7:B282,B282)=1,1,0)</x:f>
        <x:v>1</x:v>
      </x:c>
      <x:c r="J282" s="2" t="n">
        <x:f>IF(COUNTIFS('Detalle'!$A$7:$A$923,A282,'Detalle'!$B$7:$B$923,"Gaseosas")&gt;0,1,0)</x:f>
        <x:v>1</x:v>
      </x:c>
    </x:row>
    <x:row r="283" ht="23" customHeight="1">
      <x:c r="A283" s="2" t="str">
        <x:v>SIM-202607-043</x:v>
      </x:c>
      <x:c r="B283" s="8" t="n">
        <x:v>46229</x:v>
      </x:c>
      <x:c r="C283" s="9" t="n">
        <x:v>0.8180555555555555</x:v>
      </x:c>
      <x:c r="D283" s="2" t="n">
        <x:v>2</x:v>
      </x:c>
      <x:c r="E283" s="10" t="n">
        <x:v>40000</x:v>
      </x:c>
      <x:c r="F283" s="20" t="str">
        <x:v>Simulado</x:v>
      </x:c>
      <x:c r="G283" s="11" t="n">
        <x:f>DATE(YEAR(B283),MONTH(B283),1)</x:f>
        <x:v>46204</x:v>
      </x:c>
      <x:c r="H283" s="2" t="n">
        <x:f>WEEKDAY(B283,2)</x:f>
        <x:v>7</x:v>
      </x:c>
      <x:c r="I283" s="2" t="n">
        <x:f>IF(COUNTIFS($B$7:B283,B283)=1,1,0)</x:f>
        <x:v>0</x:v>
      </x:c>
      <x:c r="J283" s="2" t="n">
        <x:f>IF(COUNTIFS('Detalle'!$A$7:$A$923,A283,'Detalle'!$B$7:$B$923,"Gaseosas")&gt;0,1,0)</x:f>
        <x:v>1</x:v>
      </x:c>
    </x:row>
    <x:row r="284" ht="23" customHeight="1">
      <x:c r="A284" s="2" t="str">
        <x:v>SIM-202607-044</x:v>
      </x:c>
      <x:c r="B284" s="8" t="n">
        <x:v>46229</x:v>
      </x:c>
      <x:c r="C284" s="9" t="n">
        <x:v>0.8625</x:v>
      </x:c>
      <x:c r="D284" s="2" t="n">
        <x:v>4</x:v>
      </x:c>
      <x:c r="E284" s="10" t="n">
        <x:v>20000</x:v>
      </x:c>
      <x:c r="F284" s="20" t="str">
        <x:v>Simulado</x:v>
      </x:c>
      <x:c r="G284" s="11" t="n">
        <x:f>DATE(YEAR(B284),MONTH(B284),1)</x:f>
        <x:v>46204</x:v>
      </x:c>
      <x:c r="H284" s="2" t="n">
        <x:f>WEEKDAY(B284,2)</x:f>
        <x:v>7</x:v>
      </x:c>
      <x:c r="I284" s="2" t="n">
        <x:f>IF(COUNTIFS($B$7:B284,B284)=1,1,0)</x:f>
        <x:v>0</x:v>
      </x:c>
      <x:c r="J284" s="2" t="n">
        <x:f>IF(COUNTIFS('Detalle'!$A$7:$A$923,A284,'Detalle'!$B$7:$B$923,"Gaseosas")&gt;0,1,0)</x:f>
        <x:v>1</x:v>
      </x:c>
    </x:row>
    <x:row r="285" ht="23" customHeight="1">
      <x:c r="A285" s="2" t="str">
        <x:v>SIM-202607-045</x:v>
      </x:c>
      <x:c r="B285" s="8" t="n">
        <x:v>46229</x:v>
      </x:c>
      <x:c r="C285" s="9" t="n">
        <x:v>0.8680555555555556</x:v>
      </x:c>
      <x:c r="D285" s="2" t="n">
        <x:v>4</x:v>
      </x:c>
      <x:c r="E285" s="10" t="n">
        <x:v>15000</x:v>
      </x:c>
      <x:c r="F285" s="20" t="str">
        <x:v>Simulado</x:v>
      </x:c>
      <x:c r="G285" s="11" t="n">
        <x:f>DATE(YEAR(B285),MONTH(B285),1)</x:f>
        <x:v>46204</x:v>
      </x:c>
      <x:c r="H285" s="2" t="n">
        <x:f>WEEKDAY(B285,2)</x:f>
        <x:v>7</x:v>
      </x:c>
      <x:c r="I285" s="2" t="n">
        <x:f>IF(COUNTIFS($B$7:B285,B285)=1,1,0)</x:f>
        <x:v>0</x:v>
      </x:c>
      <x:c r="J285" s="2" t="n">
        <x:f>IF(COUNTIFS('Detalle'!$A$7:$A$923,A285,'Detalle'!$B$7:$B$923,"Gaseosas")&gt;0,1,0)</x:f>
        <x:v>0</x:v>
      </x:c>
    </x:row>
    <x:row r="286" ht="23" customHeight="1">
      <x:c r="A286" s="2" t="str">
        <x:v>SIM-202607-046</x:v>
      </x:c>
      <x:c r="B286" s="8" t="n">
        <x:v>46234</x:v>
      </x:c>
      <x:c r="C286" s="9" t="n">
        <x:v>0.7520833333333333</x:v>
      </x:c>
      <x:c r="D286" s="2" t="n">
        <x:v>1</x:v>
      </x:c>
      <x:c r="E286" s="10" t="n">
        <x:v>20000</x:v>
      </x:c>
      <x:c r="F286" s="20" t="str">
        <x:v>Simulado</x:v>
      </x:c>
      <x:c r="G286" s="11" t="n">
        <x:f>DATE(YEAR(B286),MONTH(B286),1)</x:f>
        <x:v>46204</x:v>
      </x:c>
      <x:c r="H286" s="2" t="n">
        <x:f>WEEKDAY(B286,2)</x:f>
        <x:v>5</x:v>
      </x:c>
      <x:c r="I286" s="2" t="n">
        <x:f>IF(COUNTIFS($B$7:B286,B286)=1,1,0)</x:f>
        <x:v>1</x:v>
      </x:c>
      <x:c r="J286" s="2" t="n">
        <x:f>IF(COUNTIFS('Detalle'!$A$7:$A$923,A286,'Detalle'!$B$7:$B$923,"Gaseosas")&gt;0,1,0)</x:f>
        <x:v>1</x:v>
      </x:c>
    </x:row>
    <x:row r="287" ht="23" customHeight="1">
      <x:c r="A287" s="2" t="str">
        <x:v>SIM-202607-047</x:v>
      </x:c>
      <x:c r="B287" s="8" t="n">
        <x:v>46234</x:v>
      </x:c>
      <x:c r="C287" s="9" t="n">
        <x:v>0.8277777777777777</x:v>
      </x:c>
      <x:c r="D287" s="2" t="n">
        <x:v>1</x:v>
      </x:c>
      <x:c r="E287" s="10" t="n">
        <x:v>20000</x:v>
      </x:c>
      <x:c r="F287" s="20" t="str">
        <x:v>Simulado</x:v>
      </x:c>
      <x:c r="G287" s="11" t="n">
        <x:f>DATE(YEAR(B287),MONTH(B287),1)</x:f>
        <x:v>46204</x:v>
      </x:c>
      <x:c r="H287" s="2" t="n">
        <x:f>WEEKDAY(B287,2)</x:f>
        <x:v>5</x:v>
      </x:c>
      <x:c r="I287" s="2" t="n">
        <x:f>IF(COUNTIFS($B$7:B287,B287)=1,1,0)</x:f>
        <x:v>0</x:v>
      </x:c>
      <x:c r="J287" s="2" t="n">
        <x:f>IF(COUNTIFS('Detalle'!$A$7:$A$923,A287,'Detalle'!$B$7:$B$923,"Gaseosas")&gt;0,1,0)</x:f>
        <x:v>1</x:v>
      </x:c>
    </x:row>
    <x:row r="288" ht="23" customHeight="1">
      <x:c r="A288" s="2" t="str">
        <x:v>SIM-202607-048</x:v>
      </x:c>
      <x:c r="B288" s="8" t="n">
        <x:v>46234</x:v>
      </x:c>
      <x:c r="C288" s="9" t="n">
        <x:v>0.85625</x:v>
      </x:c>
      <x:c r="D288" s="2" t="n">
        <x:v>4</x:v>
      </x:c>
      <x:c r="E288" s="10" t="n">
        <x:v>28000</x:v>
      </x:c>
      <x:c r="F288" s="20" t="str">
        <x:v>Simulado</x:v>
      </x:c>
      <x:c r="G288" s="11" t="n">
        <x:f>DATE(YEAR(B288),MONTH(B288),1)</x:f>
        <x:v>46204</x:v>
      </x:c>
      <x:c r="H288" s="2" t="n">
        <x:f>WEEKDAY(B288,2)</x:f>
        <x:v>5</x:v>
      </x:c>
      <x:c r="I288" s="2" t="n">
        <x:f>IF(COUNTIFS($B$7:B288,B288)=1,1,0)</x:f>
        <x:v>0</x:v>
      </x:c>
      <x:c r="J288" s="2" t="n">
        <x:f>IF(COUNTIFS('Detalle'!$A$7:$A$923,A288,'Detalle'!$B$7:$B$923,"Gaseosas")&gt;0,1,0)</x:f>
        <x:v>0</x:v>
      </x:c>
    </x:row>
    <x:row r="289" ht="23" customHeight="1">
      <x:c r="A289" s="2" t="str">
        <x:v>SIM-202608-001</x:v>
      </x:c>
      <x:c r="B289" s="8" t="n">
        <x:v>46235</x:v>
      </x:c>
      <x:c r="C289" s="9" t="n">
        <x:v>0.7847222222222222</x:v>
      </x:c>
      <x:c r="D289" s="2" t="n">
        <x:v>4</x:v>
      </x:c>
      <x:c r="E289" s="10" t="n">
        <x:v>20000</x:v>
      </x:c>
      <x:c r="F289" s="20" t="str">
        <x:v>Simulado</x:v>
      </x:c>
      <x:c r="G289" s="11" t="n">
        <x:f>DATE(YEAR(B289),MONTH(B289),1)</x:f>
        <x:v>46235</x:v>
      </x:c>
      <x:c r="H289" s="2" t="n">
        <x:f>WEEKDAY(B289,2)</x:f>
        <x:v>6</x:v>
      </x:c>
      <x:c r="I289" s="2" t="n">
        <x:f>IF(COUNTIFS($B$7:B289,B289)=1,1,0)</x:f>
        <x:v>1</x:v>
      </x:c>
      <x:c r="J289" s="2" t="n">
        <x:f>IF(COUNTIFS('Detalle'!$A$7:$A$923,A289,'Detalle'!$B$7:$B$923,"Gaseosas")&gt;0,1,0)</x:f>
        <x:v>1</x:v>
      </x:c>
    </x:row>
    <x:row r="290" ht="23" customHeight="1">
      <x:c r="A290" s="2" t="str">
        <x:v>SIM-202608-002</x:v>
      </x:c>
      <x:c r="B290" s="8" t="n">
        <x:v>46235</x:v>
      </x:c>
      <x:c r="C290" s="9" t="n">
        <x:v>0.7965277777777777</x:v>
      </x:c>
      <x:c r="D290" s="2" t="n">
        <x:v>3</x:v>
      </x:c>
      <x:c r="E290" s="10" t="n">
        <x:v>85000</x:v>
      </x:c>
      <x:c r="F290" s="20" t="str">
        <x:v>Simulado</x:v>
      </x:c>
      <x:c r="G290" s="11" t="n">
        <x:f>DATE(YEAR(B290),MONTH(B290),1)</x:f>
        <x:v>46235</x:v>
      </x:c>
      <x:c r="H290" s="2" t="n">
        <x:f>WEEKDAY(B290,2)</x:f>
        <x:v>6</x:v>
      </x:c>
      <x:c r="I290" s="2" t="n">
        <x:f>IF(COUNTIFS($B$7:B290,B290)=1,1,0)</x:f>
        <x:v>0</x:v>
      </x:c>
      <x:c r="J290" s="2" t="n">
        <x:f>IF(COUNTIFS('Detalle'!$A$7:$A$923,A290,'Detalle'!$B$7:$B$923,"Gaseosas")&gt;0,1,0)</x:f>
        <x:v>1</x:v>
      </x:c>
    </x:row>
    <x:row r="291" ht="23" customHeight="1">
      <x:c r="A291" s="2" t="str">
        <x:v>SIM-202608-003</x:v>
      </x:c>
      <x:c r="B291" s="8" t="n">
        <x:v>46235</x:v>
      </x:c>
      <x:c r="C291" s="9" t="n">
        <x:v>0.8034722222222223</x:v>
      </x:c>
      <x:c r="D291" s="2" t="n">
        <x:v>3</x:v>
      </x:c>
      <x:c r="E291" s="10" t="n">
        <x:v>37000</x:v>
      </x:c>
      <x:c r="F291" s="20" t="str">
        <x:v>Simulado</x:v>
      </x:c>
      <x:c r="G291" s="11" t="n">
        <x:f>DATE(YEAR(B291),MONTH(B291),1)</x:f>
        <x:v>46235</x:v>
      </x:c>
      <x:c r="H291" s="2" t="n">
        <x:f>WEEKDAY(B291,2)</x:f>
        <x:v>6</x:v>
      </x:c>
      <x:c r="I291" s="2" t="n">
        <x:f>IF(COUNTIFS($B$7:B291,B291)=1,1,0)</x:f>
        <x:v>0</x:v>
      </x:c>
      <x:c r="J291" s="2" t="n">
        <x:f>IF(COUNTIFS('Detalle'!$A$7:$A$923,A291,'Detalle'!$B$7:$B$923,"Gaseosas")&gt;0,1,0)</x:f>
        <x:v>1</x:v>
      </x:c>
    </x:row>
    <x:row r="292" ht="23" customHeight="1">
      <x:c r="A292" s="2" t="str">
        <x:v>SIM-202608-004</x:v>
      </x:c>
      <x:c r="B292" s="8" t="n">
        <x:v>46235</x:v>
      </x:c>
      <x:c r="C292" s="9" t="n">
        <x:v>0.8604166666666667</x:v>
      </x:c>
      <x:c r="D292" s="2" t="n">
        <x:v>4</x:v>
      </x:c>
      <x:c r="E292" s="10" t="n">
        <x:v>57000</x:v>
      </x:c>
      <x:c r="F292" s="20" t="str">
        <x:v>Simulado</x:v>
      </x:c>
      <x:c r="G292" s="11" t="n">
        <x:f>DATE(YEAR(B292),MONTH(B292),1)</x:f>
        <x:v>46235</x:v>
      </x:c>
      <x:c r="H292" s="2" t="n">
        <x:f>WEEKDAY(B292,2)</x:f>
        <x:v>6</x:v>
      </x:c>
      <x:c r="I292" s="2" t="n">
        <x:f>IF(COUNTIFS($B$7:B292,B292)=1,1,0)</x:f>
        <x:v>0</x:v>
      </x:c>
      <x:c r="J292" s="2" t="n">
        <x:f>IF(COUNTIFS('Detalle'!$A$7:$A$923,A292,'Detalle'!$B$7:$B$923,"Gaseosas")&gt;0,1,0)</x:f>
        <x:v>1</x:v>
      </x:c>
    </x:row>
    <x:row r="293" ht="23" customHeight="1">
      <x:c r="A293" s="2" t="str">
        <x:v>SIM-202608-005</x:v>
      </x:c>
      <x:c r="B293" s="8" t="n">
        <x:v>46236</x:v>
      </x:c>
      <x:c r="C293" s="9" t="n">
        <x:v>0.7694444444444445</x:v>
      </x:c>
      <x:c r="D293" s="2" t="n">
        <x:v>4</x:v>
      </x:c>
      <x:c r="E293" s="10" t="n">
        <x:v>40000</x:v>
      </x:c>
      <x:c r="F293" s="20" t="str">
        <x:v>Simulado</x:v>
      </x:c>
      <x:c r="G293" s="11" t="n">
        <x:f>DATE(YEAR(B293),MONTH(B293),1)</x:f>
        <x:v>46235</x:v>
      </x:c>
      <x:c r="H293" s="2" t="n">
        <x:f>WEEKDAY(B293,2)</x:f>
        <x:v>7</x:v>
      </x:c>
      <x:c r="I293" s="2" t="n">
        <x:f>IF(COUNTIFS($B$7:B293,B293)=1,1,0)</x:f>
        <x:v>1</x:v>
      </x:c>
      <x:c r="J293" s="2" t="n">
        <x:f>IF(COUNTIFS('Detalle'!$A$7:$A$923,A293,'Detalle'!$B$7:$B$923,"Gaseosas")&gt;0,1,0)</x:f>
        <x:v>1</x:v>
      </x:c>
    </x:row>
    <x:row r="294" ht="23" customHeight="1">
      <x:c r="A294" s="2" t="str">
        <x:v>SIM-202608-006</x:v>
      </x:c>
      <x:c r="B294" s="8" t="n">
        <x:v>46236</x:v>
      </x:c>
      <x:c r="C294" s="9" t="n">
        <x:v>0.8854166666666666</x:v>
      </x:c>
      <x:c r="D294" s="2" t="n">
        <x:v>3</x:v>
      </x:c>
      <x:c r="E294" s="10" t="n">
        <x:v>33000</x:v>
      </x:c>
      <x:c r="F294" s="20" t="str">
        <x:v>Simulado</x:v>
      </x:c>
      <x:c r="G294" s="11" t="n">
        <x:f>DATE(YEAR(B294),MONTH(B294),1)</x:f>
        <x:v>46235</x:v>
      </x:c>
      <x:c r="H294" s="2" t="n">
        <x:f>WEEKDAY(B294,2)</x:f>
        <x:v>7</x:v>
      </x:c>
      <x:c r="I294" s="2" t="n">
        <x:f>IF(COUNTIFS($B$7:B294,B294)=1,1,0)</x:f>
        <x:v>0</x:v>
      </x:c>
      <x:c r="J294" s="2" t="n">
        <x:f>IF(COUNTIFS('Detalle'!$A$7:$A$923,A294,'Detalle'!$B$7:$B$923,"Gaseosas")&gt;0,1,0)</x:f>
        <x:v>1</x:v>
      </x:c>
    </x:row>
    <x:row r="295" ht="23" customHeight="1">
      <x:c r="A295" s="2" t="str">
        <x:v>SIM-202608-007</x:v>
      </x:c>
      <x:c r="B295" s="8" t="n">
        <x:v>46238</x:v>
      </x:c>
      <x:c r="C295" s="9" t="n">
        <x:v>0.7152777777777778</x:v>
      </x:c>
      <x:c r="D295" s="2" t="n">
        <x:v>2</x:v>
      </x:c>
      <x:c r="E295" s="10" t="n">
        <x:v>43000</x:v>
      </x:c>
      <x:c r="F295" s="20" t="str">
        <x:v>Simulado</x:v>
      </x:c>
      <x:c r="G295" s="11" t="n">
        <x:f>DATE(YEAR(B295),MONTH(B295),1)</x:f>
        <x:v>46235</x:v>
      </x:c>
      <x:c r="H295" s="2" t="n">
        <x:f>WEEKDAY(B295,2)</x:f>
        <x:v>2</x:v>
      </x:c>
      <x:c r="I295" s="2" t="n">
        <x:f>IF(COUNTIFS($B$7:B295,B295)=1,1,0)</x:f>
        <x:v>1</x:v>
      </x:c>
      <x:c r="J295" s="2" t="n">
        <x:f>IF(COUNTIFS('Detalle'!$A$7:$A$923,A295,'Detalle'!$B$7:$B$923,"Gaseosas")&gt;0,1,0)</x:f>
        <x:v>1</x:v>
      </x:c>
    </x:row>
    <x:row r="296" ht="23" customHeight="1">
      <x:c r="A296" s="2" t="str">
        <x:v>SIM-202608-008</x:v>
      </x:c>
      <x:c r="B296" s="8" t="n">
        <x:v>46242</x:v>
      </x:c>
      <x:c r="C296" s="9" t="n">
        <x:v>0.7173611111111111</x:v>
      </x:c>
      <x:c r="D296" s="2" t="n">
        <x:v>4</x:v>
      </x:c>
      <x:c r="E296" s="10" t="n">
        <x:v>45000</x:v>
      </x:c>
      <x:c r="F296" s="20" t="str">
        <x:v>Simulado</x:v>
      </x:c>
      <x:c r="G296" s="11" t="n">
        <x:f>DATE(YEAR(B296),MONTH(B296),1)</x:f>
        <x:v>46235</x:v>
      </x:c>
      <x:c r="H296" s="2" t="n">
        <x:f>WEEKDAY(B296,2)</x:f>
        <x:v>6</x:v>
      </x:c>
      <x:c r="I296" s="2" t="n">
        <x:f>IF(COUNTIFS($B$7:B296,B296)=1,1,0)</x:f>
        <x:v>1</x:v>
      </x:c>
      <x:c r="J296" s="2" t="n">
        <x:f>IF(COUNTIFS('Detalle'!$A$7:$A$923,A296,'Detalle'!$B$7:$B$923,"Gaseosas")&gt;0,1,0)</x:f>
        <x:v>1</x:v>
      </x:c>
    </x:row>
    <x:row r="297" ht="23" customHeight="1">
      <x:c r="A297" s="2" t="str">
        <x:v>SIM-202608-009</x:v>
      </x:c>
      <x:c r="B297" s="8" t="n">
        <x:v>46242</x:v>
      </x:c>
      <x:c r="C297" s="9" t="n">
        <x:v>0.7520833333333333</x:v>
      </x:c>
      <x:c r="D297" s="2" t="n">
        <x:v>3</x:v>
      </x:c>
      <x:c r="E297" s="10" t="n">
        <x:v>42000</x:v>
      </x:c>
      <x:c r="F297" s="20" t="str">
        <x:v>Simulado</x:v>
      </x:c>
      <x:c r="G297" s="11" t="n">
        <x:f>DATE(YEAR(B297),MONTH(B297),1)</x:f>
        <x:v>46235</x:v>
      </x:c>
      <x:c r="H297" s="2" t="n">
        <x:f>WEEKDAY(B297,2)</x:f>
        <x:v>6</x:v>
      </x:c>
      <x:c r="I297" s="2" t="n">
        <x:f>IF(COUNTIFS($B$7:B297,B297)=1,1,0)</x:f>
        <x:v>0</x:v>
      </x:c>
      <x:c r="J297" s="2" t="n">
        <x:f>IF(COUNTIFS('Detalle'!$A$7:$A$923,A297,'Detalle'!$B$7:$B$923,"Gaseosas")&gt;0,1,0)</x:f>
        <x:v>1</x:v>
      </x:c>
    </x:row>
    <x:row r="298" ht="23" customHeight="1">
      <x:c r="A298" s="2" t="str">
        <x:v>SIM-202608-010</x:v>
      </x:c>
      <x:c r="B298" s="8" t="n">
        <x:v>46242</x:v>
      </x:c>
      <x:c r="C298" s="9" t="n">
        <x:v>0.7798611111111111</x:v>
      </x:c>
      <x:c r="D298" s="2" t="n">
        <x:v>4</x:v>
      </x:c>
      <x:c r="E298" s="10" t="n">
        <x:v>18000</x:v>
      </x:c>
      <x:c r="F298" s="20" t="str">
        <x:v>Simulado</x:v>
      </x:c>
      <x:c r="G298" s="11" t="n">
        <x:f>DATE(YEAR(B298),MONTH(B298),1)</x:f>
        <x:v>46235</x:v>
      </x:c>
      <x:c r="H298" s="2" t="n">
        <x:f>WEEKDAY(B298,2)</x:f>
        <x:v>6</x:v>
      </x:c>
      <x:c r="I298" s="2" t="n">
        <x:f>IF(COUNTIFS($B$7:B298,B298)=1,1,0)</x:f>
        <x:v>0</x:v>
      </x:c>
      <x:c r="J298" s="2" t="n">
        <x:f>IF(COUNTIFS('Detalle'!$A$7:$A$923,A298,'Detalle'!$B$7:$B$923,"Gaseosas")&gt;0,1,0)</x:f>
        <x:v>1</x:v>
      </x:c>
    </x:row>
    <x:row r="299" ht="23" customHeight="1">
      <x:c r="A299" s="2" t="str">
        <x:v>SIM-202608-011</x:v>
      </x:c>
      <x:c r="B299" s="8" t="n">
        <x:v>46242</x:v>
      </x:c>
      <x:c r="C299" s="9" t="n">
        <x:v>0.8159722222222222</x:v>
      </x:c>
      <x:c r="D299" s="2" t="n">
        <x:v>2</x:v>
      </x:c>
      <x:c r="E299" s="10" t="n">
        <x:v>62000</x:v>
      </x:c>
      <x:c r="F299" s="20" t="str">
        <x:v>Simulado</x:v>
      </x:c>
      <x:c r="G299" s="11" t="n">
        <x:f>DATE(YEAR(B299),MONTH(B299),1)</x:f>
        <x:v>46235</x:v>
      </x:c>
      <x:c r="H299" s="2" t="n">
        <x:f>WEEKDAY(B299,2)</x:f>
        <x:v>6</x:v>
      </x:c>
      <x:c r="I299" s="2" t="n">
        <x:f>IF(COUNTIFS($B$7:B299,B299)=1,1,0)</x:f>
        <x:v>0</x:v>
      </x:c>
      <x:c r="J299" s="2" t="n">
        <x:f>IF(COUNTIFS('Detalle'!$A$7:$A$923,A299,'Detalle'!$B$7:$B$923,"Gaseosas")&gt;0,1,0)</x:f>
        <x:v>1</x:v>
      </x:c>
    </x:row>
    <x:row r="300" ht="23" customHeight="1">
      <x:c r="A300" s="2" t="str">
        <x:v>SIM-202608-012</x:v>
      </x:c>
      <x:c r="B300" s="8" t="n">
        <x:v>46242</x:v>
      </x:c>
      <x:c r="C300" s="9" t="n">
        <x:v>0.8430555555555556</x:v>
      </x:c>
      <x:c r="D300" s="2" t="n">
        <x:v>3</x:v>
      </x:c>
      <x:c r="E300" s="10" t="n">
        <x:v>20000</x:v>
      </x:c>
      <x:c r="F300" s="20" t="str">
        <x:v>Simulado</x:v>
      </x:c>
      <x:c r="G300" s="11" t="n">
        <x:f>DATE(YEAR(B300),MONTH(B300),1)</x:f>
        <x:v>46235</x:v>
      </x:c>
      <x:c r="H300" s="2" t="n">
        <x:f>WEEKDAY(B300,2)</x:f>
        <x:v>6</x:v>
      </x:c>
      <x:c r="I300" s="2" t="n">
        <x:f>IF(COUNTIFS($B$7:B300,B300)=1,1,0)</x:f>
        <x:v>0</x:v>
      </x:c>
      <x:c r="J300" s="2" t="n">
        <x:f>IF(COUNTIFS('Detalle'!$A$7:$A$923,A300,'Detalle'!$B$7:$B$923,"Gaseosas")&gt;0,1,0)</x:f>
        <x:v>1</x:v>
      </x:c>
    </x:row>
    <x:row r="301" ht="23" customHeight="1">
      <x:c r="A301" s="2" t="str">
        <x:v>SIM-202608-013</x:v>
      </x:c>
      <x:c r="B301" s="8" t="n">
        <x:v>46242</x:v>
      </x:c>
      <x:c r="C301" s="9" t="n">
        <x:v>0.8611111111111112</x:v>
      </x:c>
      <x:c r="D301" s="2" t="n">
        <x:v>4</x:v>
      </x:c>
      <x:c r="E301" s="10" t="n">
        <x:v>65000</x:v>
      </x:c>
      <x:c r="F301" s="20" t="str">
        <x:v>Simulado</x:v>
      </x:c>
      <x:c r="G301" s="11" t="n">
        <x:f>DATE(YEAR(B301),MONTH(B301),1)</x:f>
        <x:v>46235</x:v>
      </x:c>
      <x:c r="H301" s="2" t="n">
        <x:f>WEEKDAY(B301,2)</x:f>
        <x:v>6</x:v>
      </x:c>
      <x:c r="I301" s="2" t="n">
        <x:f>IF(COUNTIFS($B$7:B301,B301)=1,1,0)</x:f>
        <x:v>0</x:v>
      </x:c>
      <x:c r="J301" s="2" t="n">
        <x:f>IF(COUNTIFS('Detalle'!$A$7:$A$923,A301,'Detalle'!$B$7:$B$923,"Gaseosas")&gt;0,1,0)</x:f>
        <x:v>1</x:v>
      </x:c>
    </x:row>
    <x:row r="302" ht="23" customHeight="1">
      <x:c r="A302" s="2" t="str">
        <x:v>SIM-202608-014</x:v>
      </x:c>
      <x:c r="B302" s="8" t="n">
        <x:v>46243</x:v>
      </x:c>
      <x:c r="C302" s="9" t="n">
        <x:v>0.8236111111111111</x:v>
      </x:c>
      <x:c r="D302" s="2" t="n">
        <x:v>4</x:v>
      </x:c>
      <x:c r="E302" s="10" t="n">
        <x:v>75000</x:v>
      </x:c>
      <x:c r="F302" s="20" t="str">
        <x:v>Simulado</x:v>
      </x:c>
      <x:c r="G302" s="11" t="n">
        <x:f>DATE(YEAR(B302),MONTH(B302),1)</x:f>
        <x:v>46235</x:v>
      </x:c>
      <x:c r="H302" s="2" t="n">
        <x:f>WEEKDAY(B302,2)</x:f>
        <x:v>7</x:v>
      </x:c>
      <x:c r="I302" s="2" t="n">
        <x:f>IF(COUNTIFS($B$7:B302,B302)=1,1,0)</x:f>
        <x:v>1</x:v>
      </x:c>
      <x:c r="J302" s="2" t="n">
        <x:f>IF(COUNTIFS('Detalle'!$A$7:$A$923,A302,'Detalle'!$B$7:$B$923,"Gaseosas")&gt;0,1,0)</x:f>
        <x:v>1</x:v>
      </x:c>
    </x:row>
    <x:row r="303" ht="23" customHeight="1">
      <x:c r="A303" s="2" t="str">
        <x:v>SIM-202608-015</x:v>
      </x:c>
      <x:c r="B303" s="8" t="n">
        <x:v>46243</x:v>
      </x:c>
      <x:c r="C303" s="9" t="n">
        <x:v>0.86875</x:v>
      </x:c>
      <x:c r="D303" s="2" t="n">
        <x:v>4</x:v>
      </x:c>
      <x:c r="E303" s="10" t="n">
        <x:v>42000</x:v>
      </x:c>
      <x:c r="F303" s="20" t="str">
        <x:v>Simulado</x:v>
      </x:c>
      <x:c r="G303" s="11" t="n">
        <x:f>DATE(YEAR(B303),MONTH(B303),1)</x:f>
        <x:v>46235</x:v>
      </x:c>
      <x:c r="H303" s="2" t="n">
        <x:f>WEEKDAY(B303,2)</x:f>
        <x:v>7</x:v>
      </x:c>
      <x:c r="I303" s="2" t="n">
        <x:f>IF(COUNTIFS($B$7:B303,B303)=1,1,0)</x:f>
        <x:v>0</x:v>
      </x:c>
      <x:c r="J303" s="2" t="n">
        <x:f>IF(COUNTIFS('Detalle'!$A$7:$A$923,A303,'Detalle'!$B$7:$B$923,"Gaseosas")&gt;0,1,0)</x:f>
        <x:v>1</x:v>
      </x:c>
    </x:row>
    <x:row r="304" ht="23" customHeight="1">
      <x:c r="A304" s="2" t="str">
        <x:v>SIM-202608-016</x:v>
      </x:c>
      <x:c r="B304" s="8" t="n">
        <x:v>46245</x:v>
      </x:c>
      <x:c r="C304" s="9" t="n">
        <x:v>0.8069444444444445</x:v>
      </x:c>
      <x:c r="D304" s="2" t="n">
        <x:v>1</x:v>
      </x:c>
      <x:c r="E304" s="10" t="n">
        <x:v>18000</x:v>
      </x:c>
      <x:c r="F304" s="20" t="str">
        <x:v>Simulado</x:v>
      </x:c>
      <x:c r="G304" s="11" t="n">
        <x:f>DATE(YEAR(B304),MONTH(B304),1)</x:f>
        <x:v>46235</x:v>
      </x:c>
      <x:c r="H304" s="2" t="n">
        <x:f>WEEKDAY(B304,2)</x:f>
        <x:v>2</x:v>
      </x:c>
      <x:c r="I304" s="2" t="n">
        <x:f>IF(COUNTIFS($B$7:B304,B304)=1,1,0)</x:f>
        <x:v>1</x:v>
      </x:c>
      <x:c r="J304" s="2" t="n">
        <x:f>IF(COUNTIFS('Detalle'!$A$7:$A$923,A304,'Detalle'!$B$7:$B$923,"Gaseosas")&gt;0,1,0)</x:f>
        <x:v>1</x:v>
      </x:c>
    </x:row>
    <x:row r="305" ht="23" customHeight="1">
      <x:c r="A305" s="2" t="str">
        <x:v>SIM-202608-017</x:v>
      </x:c>
      <x:c r="B305" s="8" t="n">
        <x:v>46247</x:v>
      </x:c>
      <x:c r="C305" s="9" t="n">
        <x:v>0.8402777777777778</x:v>
      </x:c>
      <x:c r="D305" s="2" t="n">
        <x:v>2</x:v>
      </x:c>
      <x:c r="E305" s="10" t="n">
        <x:v>20000</x:v>
      </x:c>
      <x:c r="F305" s="20" t="str">
        <x:v>Simulado</x:v>
      </x:c>
      <x:c r="G305" s="11" t="n">
        <x:f>DATE(YEAR(B305),MONTH(B305),1)</x:f>
        <x:v>46235</x:v>
      </x:c>
      <x:c r="H305" s="2" t="n">
        <x:f>WEEKDAY(B305,2)</x:f>
        <x:v>4</x:v>
      </x:c>
      <x:c r="I305" s="2" t="n">
        <x:f>IF(COUNTIFS($B$7:B305,B305)=1,1,0)</x:f>
        <x:v>1</x:v>
      </x:c>
      <x:c r="J305" s="2" t="n">
        <x:f>IF(COUNTIFS('Detalle'!$A$7:$A$923,A305,'Detalle'!$B$7:$B$923,"Gaseosas")&gt;0,1,0)</x:f>
        <x:v>1</x:v>
      </x:c>
    </x:row>
    <x:row r="306" ht="23" customHeight="1">
      <x:c r="A306" s="2" t="str">
        <x:v>SIM-202608-018</x:v>
      </x:c>
      <x:c r="B306" s="8" t="n">
        <x:v>46248</x:v>
      </x:c>
      <x:c r="C306" s="9" t="n">
        <x:v>0.7131944444444445</x:v>
      </x:c>
      <x:c r="D306" s="2" t="n">
        <x:v>1</x:v>
      </x:c>
      <x:c r="E306" s="10" t="n">
        <x:v>44000</x:v>
      </x:c>
      <x:c r="F306" s="20" t="str">
        <x:v>Simulado</x:v>
      </x:c>
      <x:c r="G306" s="11" t="n">
        <x:f>DATE(YEAR(B306),MONTH(B306),1)</x:f>
        <x:v>46235</x:v>
      </x:c>
      <x:c r="H306" s="2" t="n">
        <x:f>WEEKDAY(B306,2)</x:f>
        <x:v>5</x:v>
      </x:c>
      <x:c r="I306" s="2" t="n">
        <x:f>IF(COUNTIFS($B$7:B306,B306)=1,1,0)</x:f>
        <x:v>1</x:v>
      </x:c>
      <x:c r="J306" s="2" t="n">
        <x:f>IF(COUNTIFS('Detalle'!$A$7:$A$923,A306,'Detalle'!$B$7:$B$923,"Gaseosas")&gt;0,1,0)</x:f>
        <x:v>1</x:v>
      </x:c>
    </x:row>
    <x:row r="307" ht="23" customHeight="1">
      <x:c r="A307" s="2" t="str">
        <x:v>SIM-202608-019</x:v>
      </x:c>
      <x:c r="B307" s="8" t="n">
        <x:v>46248</x:v>
      </x:c>
      <x:c r="C307" s="9" t="n">
        <x:v>0.8326388888888889</x:v>
      </x:c>
      <x:c r="D307" s="2" t="n">
        <x:v>3</x:v>
      </x:c>
      <x:c r="E307" s="10" t="n">
        <x:v>20000</x:v>
      </x:c>
      <x:c r="F307" s="20" t="str">
        <x:v>Simulado</x:v>
      </x:c>
      <x:c r="G307" s="11" t="n">
        <x:f>DATE(YEAR(B307),MONTH(B307),1)</x:f>
        <x:v>46235</x:v>
      </x:c>
      <x:c r="H307" s="2" t="n">
        <x:f>WEEKDAY(B307,2)</x:f>
        <x:v>5</x:v>
      </x:c>
      <x:c r="I307" s="2" t="n">
        <x:f>IF(COUNTIFS($B$7:B307,B307)=1,1,0)</x:f>
        <x:v>0</x:v>
      </x:c>
      <x:c r="J307" s="2" t="n">
        <x:f>IF(COUNTIFS('Detalle'!$A$7:$A$923,A307,'Detalle'!$B$7:$B$923,"Gaseosas")&gt;0,1,0)</x:f>
        <x:v>1</x:v>
      </x:c>
    </x:row>
    <x:row r="308" ht="23" customHeight="1">
      <x:c r="A308" s="2" t="str">
        <x:v>SIM-202608-020</x:v>
      </x:c>
      <x:c r="B308" s="8" t="n">
        <x:v>46249</x:v>
      </x:c>
      <x:c r="C308" s="9" t="n">
        <x:v>0.7472222222222222</x:v>
      </x:c>
      <x:c r="D308" s="2" t="n">
        <x:v>1</x:v>
      </x:c>
      <x:c r="E308" s="10" t="n">
        <x:v>57000</x:v>
      </x:c>
      <x:c r="F308" s="20" t="str">
        <x:v>Simulado</x:v>
      </x:c>
      <x:c r="G308" s="11" t="n">
        <x:f>DATE(YEAR(B308),MONTH(B308),1)</x:f>
        <x:v>46235</x:v>
      </x:c>
      <x:c r="H308" s="2" t="n">
        <x:f>WEEKDAY(B308,2)</x:f>
        <x:v>6</x:v>
      </x:c>
      <x:c r="I308" s="2" t="n">
        <x:f>IF(COUNTIFS($B$7:B308,B308)=1,1,0)</x:f>
        <x:v>1</x:v>
      </x:c>
      <x:c r="J308" s="2" t="n">
        <x:f>IF(COUNTIFS('Detalle'!$A$7:$A$923,A308,'Detalle'!$B$7:$B$923,"Gaseosas")&gt;0,1,0)</x:f>
        <x:v>1</x:v>
      </x:c>
    </x:row>
    <x:row r="309" ht="23" customHeight="1">
      <x:c r="A309" s="2" t="str">
        <x:v>SIM-202608-021</x:v>
      </x:c>
      <x:c r="B309" s="8" t="n">
        <x:v>46249</x:v>
      </x:c>
      <x:c r="C309" s="9" t="n">
        <x:v>0.8020833333333334</x:v>
      </x:c>
      <x:c r="D309" s="2" t="n">
        <x:v>1</x:v>
      </x:c>
      <x:c r="E309" s="10" t="n">
        <x:v>43000</x:v>
      </x:c>
      <x:c r="F309" s="20" t="str">
        <x:v>Simulado</x:v>
      </x:c>
      <x:c r="G309" s="11" t="n">
        <x:f>DATE(YEAR(B309),MONTH(B309),1)</x:f>
        <x:v>46235</x:v>
      </x:c>
      <x:c r="H309" s="2" t="n">
        <x:f>WEEKDAY(B309,2)</x:f>
        <x:v>6</x:v>
      </x:c>
      <x:c r="I309" s="2" t="n">
        <x:f>IF(COUNTIFS($B$7:B309,B309)=1,1,0)</x:f>
        <x:v>0</x:v>
      </x:c>
      <x:c r="J309" s="2" t="n">
        <x:f>IF(COUNTIFS('Detalle'!$A$7:$A$923,A309,'Detalle'!$B$7:$B$923,"Gaseosas")&gt;0,1,0)</x:f>
        <x:v>1</x:v>
      </x:c>
    </x:row>
    <x:row r="310" ht="23" customHeight="1">
      <x:c r="A310" s="2" t="str">
        <x:v>SIM-202608-022</x:v>
      </x:c>
      <x:c r="B310" s="8" t="n">
        <x:v>46249</x:v>
      </x:c>
      <x:c r="C310" s="9" t="n">
        <x:v>0.80625</x:v>
      </x:c>
      <x:c r="D310" s="2" t="n">
        <x:v>4</x:v>
      </x:c>
      <x:c r="E310" s="10" t="n">
        <x:v>20000</x:v>
      </x:c>
      <x:c r="F310" s="20" t="str">
        <x:v>Simulado</x:v>
      </x:c>
      <x:c r="G310" s="11" t="n">
        <x:f>DATE(YEAR(B310),MONTH(B310),1)</x:f>
        <x:v>46235</x:v>
      </x:c>
      <x:c r="H310" s="2" t="n">
        <x:f>WEEKDAY(B310,2)</x:f>
        <x:v>6</x:v>
      </x:c>
      <x:c r="I310" s="2" t="n">
        <x:f>IF(COUNTIFS($B$7:B310,B310)=1,1,0)</x:f>
        <x:v>0</x:v>
      </x:c>
      <x:c r="J310" s="2" t="n">
        <x:f>IF(COUNTIFS('Detalle'!$A$7:$A$923,A310,'Detalle'!$B$7:$B$923,"Gaseosas")&gt;0,1,0)</x:f>
        <x:v>1</x:v>
      </x:c>
    </x:row>
    <x:row r="311" ht="23" customHeight="1">
      <x:c r="A311" s="2" t="str">
        <x:v>SIM-202608-023</x:v>
      </x:c>
      <x:c r="B311" s="8" t="n">
        <x:v>46249</x:v>
      </x:c>
      <x:c r="C311" s="9" t="n">
        <x:v>0.8083333333333333</x:v>
      </x:c>
      <x:c r="D311" s="2" t="n">
        <x:v>4</x:v>
      </x:c>
      <x:c r="E311" s="10" t="n">
        <x:v>63000</x:v>
      </x:c>
      <x:c r="F311" s="20" t="str">
        <x:v>Simulado</x:v>
      </x:c>
      <x:c r="G311" s="11" t="n">
        <x:f>DATE(YEAR(B311),MONTH(B311),1)</x:f>
        <x:v>46235</x:v>
      </x:c>
      <x:c r="H311" s="2" t="n">
        <x:f>WEEKDAY(B311,2)</x:f>
        <x:v>6</x:v>
      </x:c>
      <x:c r="I311" s="2" t="n">
        <x:f>IF(COUNTIFS($B$7:B311,B311)=1,1,0)</x:f>
        <x:v>0</x:v>
      </x:c>
      <x:c r="J311" s="2" t="n">
        <x:f>IF(COUNTIFS('Detalle'!$A$7:$A$923,A311,'Detalle'!$B$7:$B$923,"Gaseosas")&gt;0,1,0)</x:f>
        <x:v>1</x:v>
      </x:c>
    </x:row>
    <x:row r="312" ht="23" customHeight="1">
      <x:c r="A312" s="2" t="str">
        <x:v>SIM-202608-024</x:v>
      </x:c>
      <x:c r="B312" s="8" t="n">
        <x:v>46250</x:v>
      </x:c>
      <x:c r="C312" s="9" t="n">
        <x:v>0.7701388888888889</x:v>
      </x:c>
      <x:c r="D312" s="2" t="n">
        <x:v>4</x:v>
      </x:c>
      <x:c r="E312" s="10" t="n">
        <x:v>60000</x:v>
      </x:c>
      <x:c r="F312" s="20" t="str">
        <x:v>Simulado</x:v>
      </x:c>
      <x:c r="G312" s="11" t="n">
        <x:f>DATE(YEAR(B312),MONTH(B312),1)</x:f>
        <x:v>46235</x:v>
      </x:c>
      <x:c r="H312" s="2" t="n">
        <x:f>WEEKDAY(B312,2)</x:f>
        <x:v>7</x:v>
      </x:c>
      <x:c r="I312" s="2" t="n">
        <x:f>IF(COUNTIFS($B$7:B312,B312)=1,1,0)</x:f>
        <x:v>1</x:v>
      </x:c>
      <x:c r="J312" s="2" t="n">
        <x:f>IF(COUNTIFS('Detalle'!$A$7:$A$923,A312,'Detalle'!$B$7:$B$923,"Gaseosas")&gt;0,1,0)</x:f>
        <x:v>1</x:v>
      </x:c>
    </x:row>
    <x:row r="313" ht="23" customHeight="1">
      <x:c r="A313" s="2" t="str">
        <x:v>SIM-202608-025</x:v>
      </x:c>
      <x:c r="B313" s="8" t="n">
        <x:v>46250</x:v>
      </x:c>
      <x:c r="C313" s="9" t="n">
        <x:v>0.7965277777777777</x:v>
      </x:c>
      <x:c r="D313" s="2" t="n">
        <x:v>3</x:v>
      </x:c>
      <x:c r="E313" s="10" t="n">
        <x:v>40000</x:v>
      </x:c>
      <x:c r="F313" s="20" t="str">
        <x:v>Simulado</x:v>
      </x:c>
      <x:c r="G313" s="11" t="n">
        <x:f>DATE(YEAR(B313),MONTH(B313),1)</x:f>
        <x:v>46235</x:v>
      </x:c>
      <x:c r="H313" s="2" t="n">
        <x:f>WEEKDAY(B313,2)</x:f>
        <x:v>7</x:v>
      </x:c>
      <x:c r="I313" s="2" t="n">
        <x:f>IF(COUNTIFS($B$7:B313,B313)=1,1,0)</x:f>
        <x:v>0</x:v>
      </x:c>
      <x:c r="J313" s="2" t="n">
        <x:f>IF(COUNTIFS('Detalle'!$A$7:$A$923,A313,'Detalle'!$B$7:$B$923,"Gaseosas")&gt;0,1,0)</x:f>
        <x:v>1</x:v>
      </x:c>
    </x:row>
    <x:row r="314" ht="23" customHeight="1">
      <x:c r="A314" s="2" t="str">
        <x:v>SIM-202608-026</x:v>
      </x:c>
      <x:c r="B314" s="8" t="n">
        <x:v>46250</x:v>
      </x:c>
      <x:c r="C314" s="9" t="n">
        <x:v>0.8041666666666667</x:v>
      </x:c>
      <x:c r="D314" s="2" t="n">
        <x:v>1</x:v>
      </x:c>
      <x:c r="E314" s="10" t="n">
        <x:v>75000</x:v>
      </x:c>
      <x:c r="F314" s="20" t="str">
        <x:v>Simulado</x:v>
      </x:c>
      <x:c r="G314" s="11" t="n">
        <x:f>DATE(YEAR(B314),MONTH(B314),1)</x:f>
        <x:v>46235</x:v>
      </x:c>
      <x:c r="H314" s="2" t="n">
        <x:f>WEEKDAY(B314,2)</x:f>
        <x:v>7</x:v>
      </x:c>
      <x:c r="I314" s="2" t="n">
        <x:f>IF(COUNTIFS($B$7:B314,B314)=1,1,0)</x:f>
        <x:v>0</x:v>
      </x:c>
      <x:c r="J314" s="2" t="n">
        <x:f>IF(COUNTIFS('Detalle'!$A$7:$A$923,A314,'Detalle'!$B$7:$B$923,"Gaseosas")&gt;0,1,0)</x:f>
        <x:v>1</x:v>
      </x:c>
    </x:row>
    <x:row r="315" ht="23" customHeight="1">
      <x:c r="A315" s="2" t="str">
        <x:v>SIM-202608-027</x:v>
      </x:c>
      <x:c r="B315" s="8" t="n">
        <x:v>46250</x:v>
      </x:c>
      <x:c r="C315" s="9" t="n">
        <x:v>0.8152777777777778</x:v>
      </x:c>
      <x:c r="D315" s="2" t="n">
        <x:v>4</x:v>
      </x:c>
      <x:c r="E315" s="10" t="n">
        <x:v>40000</x:v>
      </x:c>
      <x:c r="F315" s="20" t="str">
        <x:v>Simulado</x:v>
      </x:c>
      <x:c r="G315" s="11" t="n">
        <x:f>DATE(YEAR(B315),MONTH(B315),1)</x:f>
        <x:v>46235</x:v>
      </x:c>
      <x:c r="H315" s="2" t="n">
        <x:f>WEEKDAY(B315,2)</x:f>
        <x:v>7</x:v>
      </x:c>
      <x:c r="I315" s="2" t="n">
        <x:f>IF(COUNTIFS($B$7:B315,B315)=1,1,0)</x:f>
        <x:v>0</x:v>
      </x:c>
      <x:c r="J315" s="2" t="n">
        <x:f>IF(COUNTIFS('Detalle'!$A$7:$A$923,A315,'Detalle'!$B$7:$B$923,"Gaseosas")&gt;0,1,0)</x:f>
        <x:v>0</x:v>
      </x:c>
    </x:row>
    <x:row r="316" ht="23" customHeight="1">
      <x:c r="A316" s="2" t="str">
        <x:v>SIM-202608-028</x:v>
      </x:c>
      <x:c r="B316" s="8" t="n">
        <x:v>46253</x:v>
      </x:c>
      <x:c r="C316" s="9" t="n">
        <x:v>0.8055555555555556</x:v>
      </x:c>
      <x:c r="D316" s="2" t="n">
        <x:v>2</x:v>
      </x:c>
      <x:c r="E316" s="10" t="n">
        <x:v>30000</x:v>
      </x:c>
      <x:c r="F316" s="20" t="str">
        <x:v>Simulado</x:v>
      </x:c>
      <x:c r="G316" s="11" t="n">
        <x:f>DATE(YEAR(B316),MONTH(B316),1)</x:f>
        <x:v>46235</x:v>
      </x:c>
      <x:c r="H316" s="2" t="n">
        <x:f>WEEKDAY(B316,2)</x:f>
        <x:v>3</x:v>
      </x:c>
      <x:c r="I316" s="2" t="n">
        <x:f>IF(COUNTIFS($B$7:B316,B316)=1,1,0)</x:f>
        <x:v>1</x:v>
      </x:c>
      <x:c r="J316" s="2" t="n">
        <x:f>IF(COUNTIFS('Detalle'!$A$7:$A$923,A316,'Detalle'!$B$7:$B$923,"Gaseosas")&gt;0,1,0)</x:f>
        <x:v>1</x:v>
      </x:c>
    </x:row>
    <x:row r="317" ht="23" customHeight="1">
      <x:c r="A317" s="2" t="str">
        <x:v>SIM-202608-029</x:v>
      </x:c>
      <x:c r="B317" s="8" t="n">
        <x:v>46254</x:v>
      </x:c>
      <x:c r="C317" s="9" t="n">
        <x:v>0.7513888888888889</x:v>
      </x:c>
      <x:c r="D317" s="2" t="n">
        <x:v>3</x:v>
      </x:c>
      <x:c r="E317" s="10" t="n">
        <x:v>35000</x:v>
      </x:c>
      <x:c r="F317" s="20" t="str">
        <x:v>Simulado</x:v>
      </x:c>
      <x:c r="G317" s="11" t="n">
        <x:f>DATE(YEAR(B317),MONTH(B317),1)</x:f>
        <x:v>46235</x:v>
      </x:c>
      <x:c r="H317" s="2" t="n">
        <x:f>WEEKDAY(B317,2)</x:f>
        <x:v>4</x:v>
      </x:c>
      <x:c r="I317" s="2" t="n">
        <x:f>IF(COUNTIFS($B$7:B317,B317)=1,1,0)</x:f>
        <x:v>1</x:v>
      </x:c>
      <x:c r="J317" s="2" t="n">
        <x:f>IF(COUNTIFS('Detalle'!$A$7:$A$923,A317,'Detalle'!$B$7:$B$923,"Gaseosas")&gt;0,1,0)</x:f>
        <x:v>1</x:v>
      </x:c>
    </x:row>
    <x:row r="318" ht="23" customHeight="1">
      <x:c r="A318" s="2" t="str">
        <x:v>SIM-202608-030</x:v>
      </x:c>
      <x:c r="B318" s="8" t="n">
        <x:v>46254</x:v>
      </x:c>
      <x:c r="C318" s="9" t="n">
        <x:v>0.8375</x:v>
      </x:c>
      <x:c r="D318" s="2" t="n">
        <x:v>4</x:v>
      </x:c>
      <x:c r="E318" s="10" t="n">
        <x:v>25000</x:v>
      </x:c>
      <x:c r="F318" s="20" t="str">
        <x:v>Simulado</x:v>
      </x:c>
      <x:c r="G318" s="11" t="n">
        <x:f>DATE(YEAR(B318),MONTH(B318),1)</x:f>
        <x:v>46235</x:v>
      </x:c>
      <x:c r="H318" s="2" t="n">
        <x:f>WEEKDAY(B318,2)</x:f>
        <x:v>4</x:v>
      </x:c>
      <x:c r="I318" s="2" t="n">
        <x:f>IF(COUNTIFS($B$7:B318,B318)=1,1,0)</x:f>
        <x:v>0</x:v>
      </x:c>
      <x:c r="J318" s="2" t="n">
        <x:f>IF(COUNTIFS('Detalle'!$A$7:$A$923,A318,'Detalle'!$B$7:$B$923,"Gaseosas")&gt;0,1,0)</x:f>
        <x:v>1</x:v>
      </x:c>
    </x:row>
    <x:row r="319" ht="23" customHeight="1">
      <x:c r="A319" s="2" t="str">
        <x:v>SIM-202608-031</x:v>
      </x:c>
      <x:c r="B319" s="8" t="n">
        <x:v>46255</x:v>
      </x:c>
      <x:c r="C319" s="9" t="n">
        <x:v>0.7569444444444444</x:v>
      </x:c>
      <x:c r="D319" s="2" t="n">
        <x:v>3</x:v>
      </x:c>
      <x:c r="E319" s="10" t="n">
        <x:v>18000</x:v>
      </x:c>
      <x:c r="F319" s="20" t="str">
        <x:v>Simulado</x:v>
      </x:c>
      <x:c r="G319" s="11" t="n">
        <x:f>DATE(YEAR(B319),MONTH(B319),1)</x:f>
        <x:v>46235</x:v>
      </x:c>
      <x:c r="H319" s="2" t="n">
        <x:f>WEEKDAY(B319,2)</x:f>
        <x:v>5</x:v>
      </x:c>
      <x:c r="I319" s="2" t="n">
        <x:f>IF(COUNTIFS($B$7:B319,B319)=1,1,0)</x:f>
        <x:v>1</x:v>
      </x:c>
      <x:c r="J319" s="2" t="n">
        <x:f>IF(COUNTIFS('Detalle'!$A$7:$A$923,A319,'Detalle'!$B$7:$B$923,"Gaseosas")&gt;0,1,0)</x:f>
        <x:v>1</x:v>
      </x:c>
    </x:row>
    <x:row r="320" ht="23" customHeight="1">
      <x:c r="A320" s="2" t="str">
        <x:v>SIM-202608-032</x:v>
      </x:c>
      <x:c r="B320" s="8" t="n">
        <x:v>46255</x:v>
      </x:c>
      <x:c r="C320" s="9" t="n">
        <x:v>0.7916666666666666</x:v>
      </x:c>
      <x:c r="D320" s="2" t="n">
        <x:v>2</x:v>
      </x:c>
      <x:c r="E320" s="10" t="n">
        <x:v>25000</x:v>
      </x:c>
      <x:c r="F320" s="20" t="str">
        <x:v>Simulado</x:v>
      </x:c>
      <x:c r="G320" s="11" t="n">
        <x:f>DATE(YEAR(B320),MONTH(B320),1)</x:f>
        <x:v>46235</x:v>
      </x:c>
      <x:c r="H320" s="2" t="n">
        <x:f>WEEKDAY(B320,2)</x:f>
        <x:v>5</x:v>
      </x:c>
      <x:c r="I320" s="2" t="n">
        <x:f>IF(COUNTIFS($B$7:B320,B320)=1,1,0)</x:f>
        <x:v>0</x:v>
      </x:c>
      <x:c r="J320" s="2" t="n">
        <x:f>IF(COUNTIFS('Detalle'!$A$7:$A$923,A320,'Detalle'!$B$7:$B$923,"Gaseosas")&gt;0,1,0)</x:f>
        <x:v>1</x:v>
      </x:c>
    </x:row>
    <x:row r="321" ht="23" customHeight="1">
      <x:c r="A321" s="2" t="str">
        <x:v>SIM-202608-033</x:v>
      </x:c>
      <x:c r="B321" s="8" t="n">
        <x:v>46255</x:v>
      </x:c>
      <x:c r="C321" s="9" t="n">
        <x:v>0.8444444444444444</x:v>
      </x:c>
      <x:c r="D321" s="2" t="n">
        <x:v>1</x:v>
      </x:c>
      <x:c r="E321" s="10" t="n">
        <x:v>67000</x:v>
      </x:c>
      <x:c r="F321" s="20" t="str">
        <x:v>Simulado</x:v>
      </x:c>
      <x:c r="G321" s="11" t="n">
        <x:f>DATE(YEAR(B321),MONTH(B321),1)</x:f>
        <x:v>46235</x:v>
      </x:c>
      <x:c r="H321" s="2" t="n">
        <x:f>WEEKDAY(B321,2)</x:f>
        <x:v>5</x:v>
      </x:c>
      <x:c r="I321" s="2" t="n">
        <x:f>IF(COUNTIFS($B$7:B321,B321)=1,1,0)</x:f>
        <x:v>0</x:v>
      </x:c>
      <x:c r="J321" s="2" t="n">
        <x:f>IF(COUNTIFS('Detalle'!$A$7:$A$923,A321,'Detalle'!$B$7:$B$923,"Gaseosas")&gt;0,1,0)</x:f>
        <x:v>1</x:v>
      </x:c>
    </x:row>
    <x:row r="322" ht="23" customHeight="1">
      <x:c r="A322" s="2" t="str">
        <x:v>SIM-202608-034</x:v>
      </x:c>
      <x:c r="B322" s="8" t="n">
        <x:v>46255</x:v>
      </x:c>
      <x:c r="C322" s="9" t="n">
        <x:v>0.90625</x:v>
      </x:c>
      <x:c r="D322" s="2" t="n">
        <x:v>3</x:v>
      </x:c>
      <x:c r="E322" s="10" t="n">
        <x:v>52000</x:v>
      </x:c>
      <x:c r="F322" s="20" t="str">
        <x:v>Simulado</x:v>
      </x:c>
      <x:c r="G322" s="11" t="n">
        <x:f>DATE(YEAR(B322),MONTH(B322),1)</x:f>
        <x:v>46235</x:v>
      </x:c>
      <x:c r="H322" s="2" t="n">
        <x:f>WEEKDAY(B322,2)</x:f>
        <x:v>5</x:v>
      </x:c>
      <x:c r="I322" s="2" t="n">
        <x:f>IF(COUNTIFS($B$7:B322,B322)=1,1,0)</x:f>
        <x:v>0</x:v>
      </x:c>
      <x:c r="J322" s="2" t="n">
        <x:f>IF(COUNTIFS('Detalle'!$A$7:$A$923,A322,'Detalle'!$B$7:$B$923,"Gaseosas")&gt;0,1,0)</x:f>
        <x:v>1</x:v>
      </x:c>
    </x:row>
    <x:row r="323" ht="23" customHeight="1">
      <x:c r="A323" s="2" t="str">
        <x:v>SIM-202608-035</x:v>
      </x:c>
      <x:c r="B323" s="8" t="n">
        <x:v>46257</x:v>
      </x:c>
      <x:c r="C323" s="9" t="n">
        <x:v>0.7743055555555556</x:v>
      </x:c>
      <x:c r="D323" s="2" t="n">
        <x:v>4</x:v>
      </x:c>
      <x:c r="E323" s="10" t="n">
        <x:v>60000</x:v>
      </x:c>
      <x:c r="F323" s="20" t="str">
        <x:v>Simulado</x:v>
      </x:c>
      <x:c r="G323" s="11" t="n">
        <x:f>DATE(YEAR(B323),MONTH(B323),1)</x:f>
        <x:v>46235</x:v>
      </x:c>
      <x:c r="H323" s="2" t="n">
        <x:f>WEEKDAY(B323,2)</x:f>
        <x:v>7</x:v>
      </x:c>
      <x:c r="I323" s="2" t="n">
        <x:f>IF(COUNTIFS($B$7:B323,B323)=1,1,0)</x:f>
        <x:v>1</x:v>
      </x:c>
      <x:c r="J323" s="2" t="n">
        <x:f>IF(COUNTIFS('Detalle'!$A$7:$A$923,A323,'Detalle'!$B$7:$B$923,"Gaseosas")&gt;0,1,0)</x:f>
        <x:v>1</x:v>
      </x:c>
    </x:row>
    <x:row r="324" ht="23" customHeight="1">
      <x:c r="A324" s="2" t="str">
        <x:v>SIM-202608-036</x:v>
      </x:c>
      <x:c r="B324" s="8" t="n">
        <x:v>46259</x:v>
      </x:c>
      <x:c r="C324" s="9" t="n">
        <x:v>0.7368055555555556</x:v>
      </x:c>
      <x:c r="D324" s="2" t="n">
        <x:v>3</x:v>
      </x:c>
      <x:c r="E324" s="10" t="n">
        <x:v>18000</x:v>
      </x:c>
      <x:c r="F324" s="20" t="str">
        <x:v>Simulado</x:v>
      </x:c>
      <x:c r="G324" s="11" t="n">
        <x:f>DATE(YEAR(B324),MONTH(B324),1)</x:f>
        <x:v>46235</x:v>
      </x:c>
      <x:c r="H324" s="2" t="n">
        <x:f>WEEKDAY(B324,2)</x:f>
        <x:v>2</x:v>
      </x:c>
      <x:c r="I324" s="2" t="n">
        <x:f>IF(COUNTIFS($B$7:B324,B324)=1,1,0)</x:f>
        <x:v>1</x:v>
      </x:c>
      <x:c r="J324" s="2" t="n">
        <x:f>IF(COUNTIFS('Detalle'!$A$7:$A$923,A324,'Detalle'!$B$7:$B$923,"Gaseosas")&gt;0,1,0)</x:f>
        <x:v>1</x:v>
      </x:c>
    </x:row>
    <x:row r="325" ht="23" customHeight="1">
      <x:c r="A325" s="2" t="str">
        <x:v>SIM-202608-037</x:v>
      </x:c>
      <x:c r="B325" s="8" t="n">
        <x:v>46260</x:v>
      </x:c>
      <x:c r="C325" s="9" t="n">
        <x:v>0.7965277777777777</x:v>
      </x:c>
      <x:c r="D325" s="2" t="n">
        <x:v>2</x:v>
      </x:c>
      <x:c r="E325" s="10" t="n">
        <x:v>45000</x:v>
      </x:c>
      <x:c r="F325" s="20" t="str">
        <x:v>Simulado</x:v>
      </x:c>
      <x:c r="G325" s="11" t="n">
        <x:f>DATE(YEAR(B325),MONTH(B325),1)</x:f>
        <x:v>46235</x:v>
      </x:c>
      <x:c r="H325" s="2" t="n">
        <x:f>WEEKDAY(B325,2)</x:f>
        <x:v>3</x:v>
      </x:c>
      <x:c r="I325" s="2" t="n">
        <x:f>IF(COUNTIFS($B$7:B325,B325)=1,1,0)</x:f>
        <x:v>1</x:v>
      </x:c>
      <x:c r="J325" s="2" t="n">
        <x:f>IF(COUNTIFS('Detalle'!$A$7:$A$923,A325,'Detalle'!$B$7:$B$923,"Gaseosas")&gt;0,1,0)</x:f>
        <x:v>1</x:v>
      </x:c>
    </x:row>
    <x:row r="326" ht="23" customHeight="1">
      <x:c r="A326" s="2" t="str">
        <x:v>SIM-202608-038</x:v>
      </x:c>
      <x:c r="B326" s="8" t="n">
        <x:v>46260</x:v>
      </x:c>
      <x:c r="C326" s="9" t="n">
        <x:v>0.8444444444444444</x:v>
      </x:c>
      <x:c r="D326" s="2" t="n">
        <x:v>3</x:v>
      </x:c>
      <x:c r="E326" s="10" t="n">
        <x:v>45000</x:v>
      </x:c>
      <x:c r="F326" s="20" t="str">
        <x:v>Simulado</x:v>
      </x:c>
      <x:c r="G326" s="11" t="n">
        <x:f>DATE(YEAR(B326),MONTH(B326),1)</x:f>
        <x:v>46235</x:v>
      </x:c>
      <x:c r="H326" s="2" t="n">
        <x:f>WEEKDAY(B326,2)</x:f>
        <x:v>3</x:v>
      </x:c>
      <x:c r="I326" s="2" t="n">
        <x:f>IF(COUNTIFS($B$7:B326,B326)=1,1,0)</x:f>
        <x:v>0</x:v>
      </x:c>
      <x:c r="J326" s="2" t="n">
        <x:f>IF(COUNTIFS('Detalle'!$A$7:$A$923,A326,'Detalle'!$B$7:$B$923,"Gaseosas")&gt;0,1,0)</x:f>
        <x:v>1</x:v>
      </x:c>
    </x:row>
    <x:row r="327" ht="23" customHeight="1">
      <x:c r="A327" s="2" t="str">
        <x:v>SIM-202608-039</x:v>
      </x:c>
      <x:c r="B327" s="8" t="n">
        <x:v>46261</x:v>
      </x:c>
      <x:c r="C327" s="9" t="n">
        <x:v>0.8305555555555556</x:v>
      </x:c>
      <x:c r="D327" s="2" t="n">
        <x:v>4</x:v>
      </x:c>
      <x:c r="E327" s="10" t="n">
        <x:v>12000</x:v>
      </x:c>
      <x:c r="F327" s="20" t="str">
        <x:v>Simulado</x:v>
      </x:c>
      <x:c r="G327" s="11" t="n">
        <x:f>DATE(YEAR(B327),MONTH(B327),1)</x:f>
        <x:v>46235</x:v>
      </x:c>
      <x:c r="H327" s="2" t="n">
        <x:f>WEEKDAY(B327,2)</x:f>
        <x:v>4</x:v>
      </x:c>
      <x:c r="I327" s="2" t="n">
        <x:f>IF(COUNTIFS($B$7:B327,B327)=1,1,0)</x:f>
        <x:v>1</x:v>
      </x:c>
      <x:c r="J327" s="2" t="n">
        <x:f>IF(COUNTIFS('Detalle'!$A$7:$A$923,A327,'Detalle'!$B$7:$B$923,"Gaseosas")&gt;0,1,0)</x:f>
        <x:v>0</x:v>
      </x:c>
    </x:row>
    <x:row r="328" ht="23" customHeight="1">
      <x:c r="A328" s="2" t="str">
        <x:v>SIM-202608-040</x:v>
      </x:c>
      <x:c r="B328" s="8" t="n">
        <x:v>46261</x:v>
      </x:c>
      <x:c r="C328" s="9" t="n">
        <x:v>0.8340277777777778</x:v>
      </x:c>
      <x:c r="D328" s="2" t="n">
        <x:v>2</x:v>
      </x:c>
      <x:c r="E328" s="10" t="n">
        <x:v>45000</x:v>
      </x:c>
      <x:c r="F328" s="20" t="str">
        <x:v>Simulado</x:v>
      </x:c>
      <x:c r="G328" s="11" t="n">
        <x:f>DATE(YEAR(B328),MONTH(B328),1)</x:f>
        <x:v>46235</x:v>
      </x:c>
      <x:c r="H328" s="2" t="n">
        <x:f>WEEKDAY(B328,2)</x:f>
        <x:v>4</x:v>
      </x:c>
      <x:c r="I328" s="2" t="n">
        <x:f>IF(COUNTIFS($B$7:B328,B328)=1,1,0)</x:f>
        <x:v>0</x:v>
      </x:c>
      <x:c r="J328" s="2" t="n">
        <x:f>IF(COUNTIFS('Detalle'!$A$7:$A$923,A328,'Detalle'!$B$7:$B$923,"Gaseosas")&gt;0,1,0)</x:f>
        <x:v>1</x:v>
      </x:c>
    </x:row>
    <x:row r="329" ht="23" customHeight="1">
      <x:c r="A329" s="2" t="str">
        <x:v>SIM-202608-041</x:v>
      </x:c>
      <x:c r="B329" s="8" t="n">
        <x:v>46262</x:v>
      </x:c>
      <x:c r="C329" s="9" t="n">
        <x:v>0.7583333333333333</x:v>
      </x:c>
      <x:c r="D329" s="2" t="n">
        <x:v>4</x:v>
      </x:c>
      <x:c r="E329" s="10" t="n">
        <x:v>45000</x:v>
      </x:c>
      <x:c r="F329" s="20" t="str">
        <x:v>Simulado</x:v>
      </x:c>
      <x:c r="G329" s="11" t="n">
        <x:f>DATE(YEAR(B329),MONTH(B329),1)</x:f>
        <x:v>46235</x:v>
      </x:c>
      <x:c r="H329" s="2" t="n">
        <x:f>WEEKDAY(B329,2)</x:f>
        <x:v>5</x:v>
      </x:c>
      <x:c r="I329" s="2" t="n">
        <x:f>IF(COUNTIFS($B$7:B329,B329)=1,1,0)</x:f>
        <x:v>1</x:v>
      </x:c>
      <x:c r="J329" s="2" t="n">
        <x:f>IF(COUNTIFS('Detalle'!$A$7:$A$923,A329,'Detalle'!$B$7:$B$923,"Gaseosas")&gt;0,1,0)</x:f>
        <x:v>1</x:v>
      </x:c>
    </x:row>
    <x:row r="330" ht="23" customHeight="1">
      <x:c r="A330" s="2" t="str">
        <x:v>SIM-202608-042</x:v>
      </x:c>
      <x:c r="B330" s="8" t="n">
        <x:v>46263</x:v>
      </x:c>
      <x:c r="C330" s="9" t="n">
        <x:v>0.7493055555555556</x:v>
      </x:c>
      <x:c r="D330" s="2" t="n">
        <x:v>1</x:v>
      </x:c>
      <x:c r="E330" s="10" t="n">
        <x:v>20000</x:v>
      </x:c>
      <x:c r="F330" s="20" t="str">
        <x:v>Simulado</x:v>
      </x:c>
      <x:c r="G330" s="11" t="n">
        <x:f>DATE(YEAR(B330),MONTH(B330),1)</x:f>
        <x:v>46235</x:v>
      </x:c>
      <x:c r="H330" s="2" t="n">
        <x:f>WEEKDAY(B330,2)</x:f>
        <x:v>6</x:v>
      </x:c>
      <x:c r="I330" s="2" t="n">
        <x:f>IF(COUNTIFS($B$7:B330,B330)=1,1,0)</x:f>
        <x:v>1</x:v>
      </x:c>
      <x:c r="J330" s="2" t="n">
        <x:f>IF(COUNTIFS('Detalle'!$A$7:$A$923,A330,'Detalle'!$B$7:$B$923,"Gaseosas")&gt;0,1,0)</x:f>
        <x:v>1</x:v>
      </x:c>
    </x:row>
    <x:row r="331" ht="23" customHeight="1">
      <x:c r="A331" s="2" t="str">
        <x:v>SIM-202608-043</x:v>
      </x:c>
      <x:c r="B331" s="8" t="n">
        <x:v>46263</x:v>
      </x:c>
      <x:c r="C331" s="9" t="n">
        <x:v>0.8194444444444444</x:v>
      </x:c>
      <x:c r="D331" s="2" t="n">
        <x:v>1</x:v>
      </x:c>
      <x:c r="E331" s="10" t="n">
        <x:v>38000</x:v>
      </x:c>
      <x:c r="F331" s="20" t="str">
        <x:v>Simulado</x:v>
      </x:c>
      <x:c r="G331" s="11" t="n">
        <x:f>DATE(YEAR(B331),MONTH(B331),1)</x:f>
        <x:v>46235</x:v>
      </x:c>
      <x:c r="H331" s="2" t="n">
        <x:f>WEEKDAY(B331,2)</x:f>
        <x:v>6</x:v>
      </x:c>
      <x:c r="I331" s="2" t="n">
        <x:f>IF(COUNTIFS($B$7:B331,B331)=1,1,0)</x:f>
        <x:v>0</x:v>
      </x:c>
      <x:c r="J331" s="2" t="n">
        <x:f>IF(COUNTIFS('Detalle'!$A$7:$A$923,A331,'Detalle'!$B$7:$B$923,"Gaseosas")&gt;0,1,0)</x:f>
        <x:v>1</x:v>
      </x:c>
    </x:row>
    <x:row r="332" ht="23" customHeight="1">
      <x:c r="A332" s="2" t="str">
        <x:v>SIM-202608-044</x:v>
      </x:c>
      <x:c r="B332" s="8" t="n">
        <x:v>46263</x:v>
      </x:c>
      <x:c r="C332" s="9" t="n">
        <x:v>0.8270833333333333</x:v>
      </x:c>
      <x:c r="D332" s="2" t="n">
        <x:v>3</x:v>
      </x:c>
      <x:c r="E332" s="10" t="n">
        <x:v>40000</x:v>
      </x:c>
      <x:c r="F332" s="20" t="str">
        <x:v>Simulado</x:v>
      </x:c>
      <x:c r="G332" s="11" t="n">
        <x:f>DATE(YEAR(B332),MONTH(B332),1)</x:f>
        <x:v>46235</x:v>
      </x:c>
      <x:c r="H332" s="2" t="n">
        <x:f>WEEKDAY(B332,2)</x:f>
        <x:v>6</x:v>
      </x:c>
      <x:c r="I332" s="2" t="n">
        <x:f>IF(COUNTIFS($B$7:B332,B332)=1,1,0)</x:f>
        <x:v>0</x:v>
      </x:c>
      <x:c r="J332" s="2" t="n">
        <x:f>IF(COUNTIFS('Detalle'!$A$7:$A$923,A332,'Detalle'!$B$7:$B$923,"Gaseosas")&gt;0,1,0)</x:f>
        <x:v>1</x:v>
      </x:c>
    </x:row>
    <x:row r="333" ht="23" customHeight="1">
      <x:c r="A333" s="2" t="str">
        <x:v>SIM-202608-045</x:v>
      </x:c>
      <x:c r="B333" s="8" t="n">
        <x:v>46263</x:v>
      </x:c>
      <x:c r="C333" s="9" t="n">
        <x:v>0.8513888888888889</x:v>
      </x:c>
      <x:c r="D333" s="2" t="n">
        <x:v>2</x:v>
      </x:c>
      <x:c r="E333" s="10" t="n">
        <x:v>34000</x:v>
      </x:c>
      <x:c r="F333" s="20" t="str">
        <x:v>Simulado</x:v>
      </x:c>
      <x:c r="G333" s="11" t="n">
        <x:f>DATE(YEAR(B333),MONTH(B333),1)</x:f>
        <x:v>46235</x:v>
      </x:c>
      <x:c r="H333" s="2" t="n">
        <x:f>WEEKDAY(B333,2)</x:f>
        <x:v>6</x:v>
      </x:c>
      <x:c r="I333" s="2" t="n">
        <x:f>IF(COUNTIFS($B$7:B333,B333)=1,1,0)</x:f>
        <x:v>0</x:v>
      </x:c>
      <x:c r="J333" s="2" t="n">
        <x:f>IF(COUNTIFS('Detalle'!$A$7:$A$923,A333,'Detalle'!$B$7:$B$923,"Gaseosas")&gt;0,1,0)</x:f>
        <x:v>1</x:v>
      </x:c>
    </x:row>
    <x:row r="334" ht="23" customHeight="1">
      <x:c r="A334" s="2" t="str">
        <x:v>SIM-202608-046</x:v>
      </x:c>
      <x:c r="B334" s="8" t="n">
        <x:v>46264</x:v>
      </x:c>
      <x:c r="C334" s="9" t="n">
        <x:v>0.8305555555555556</x:v>
      </x:c>
      <x:c r="D334" s="2" t="n">
        <x:v>3</x:v>
      </x:c>
      <x:c r="E334" s="10" t="n">
        <x:v>45000</x:v>
      </x:c>
      <x:c r="F334" s="20" t="str">
        <x:v>Simulado</x:v>
      </x:c>
      <x:c r="G334" s="11" t="n">
        <x:f>DATE(YEAR(B334),MONTH(B334),1)</x:f>
        <x:v>46235</x:v>
      </x:c>
      <x:c r="H334" s="2" t="n">
        <x:f>WEEKDAY(B334,2)</x:f>
        <x:v>7</x:v>
      </x:c>
      <x:c r="I334" s="2" t="n">
        <x:f>IF(COUNTIFS($B$7:B334,B334)=1,1,0)</x:f>
        <x:v>1</x:v>
      </x:c>
      <x:c r="J334" s="2" t="n">
        <x:f>IF(COUNTIFS('Detalle'!$A$7:$A$923,A334,'Detalle'!$B$7:$B$923,"Gaseosas")&gt;0,1,0)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233c9fbc5084ac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20" hidden="0" customWidth="1"/>
    <x:col min="4" max="4" width="15" hidden="0" customWidth="1"/>
    <x:col min="5" max="5" width="22" hidden="0" customWidth="1"/>
    <x:col min="6" max="6" width="23" hidden="0" customWidth="1"/>
    <x:col min="7" max="7" width="23" hidden="0" customWidth="1"/>
    <x:col min="8" max="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Detalle de origen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2" t="str">
        <x:v>Fuente: ordenes-restaurante-completo.xlsx, hoja Detalle. Importes de origen conservados.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7" t="str">
        <x:v>Pedido</x:v>
      </x:c>
      <x:c r="B6" s="7" t="str">
        <x:v>Producto</x:v>
      </x:c>
      <x:c r="C6" s="7" t="str">
        <x:v>Variedad</x:v>
      </x:c>
      <x:c r="D6" s="7" t="str">
        <x:v>Cantidad</x:v>
      </x:c>
      <x:c r="E6" s="7" t="str">
        <x:v>Precio unitario</x:v>
      </x:c>
      <x:c r="F6" s="7" t="str">
        <x:v>Importe</x:v>
      </x:c>
      <x:c r="G6" s="7" t="str">
        <x:v>Fecha de la orden</x:v>
      </x:c>
      <x:c r="H6" s="7" t="str">
        <x:v>Mes</x:v>
      </x:c>
    </x:row>
    <x:row r="7" ht="23" customHeight="1">
      <x:c r="A7" s="2" t="str">
        <x:v>SIM-202601-001</x:v>
      </x:c>
      <x:c r="B7" s="2" t="str">
        <x:v>Salchipapas</x:v>
      </x:c>
      <x:c r="C7" s="2" t="str"/>
      <x:c r="D7" s="2" t="n">
        <x:v>1</x:v>
      </x:c>
      <x:c r="E7" s="10" t="n">
        <x:v>12000</x:v>
      </x:c>
      <x:c r="F7" s="10" t="n">
        <x:v>12000</x:v>
      </x:c>
      <x:c r="G7" s="8" t="n">
        <x:f>INDEX('Órdenes'!$B$7:$B$334,MATCH(A7,'Órdenes'!$A$7:$A$334,0))</x:f>
        <x:v>46024</x:v>
      </x:c>
      <x:c r="H7" s="11" t="n">
        <x:f>DATE(YEAR(G7),MONTH(G7),1)</x:f>
        <x:v>46023</x:v>
      </x:c>
    </x:row>
    <x:row r="8" ht="23" customHeight="1">
      <x:c r="A8" s="2" t="str">
        <x:v>SIM-202601-002</x:v>
      </x:c>
      <x:c r="B8" s="2" t="str">
        <x:v>Hamburguesa Clásica</x:v>
      </x:c>
      <x:c r="C8" s="2" t="str"/>
      <x:c r="D8" s="2" t="n">
        <x:v>1</x:v>
      </x:c>
      <x:c r="E8" s="10" t="n">
        <x:v>15000</x:v>
      </x:c>
      <x:c r="F8" s="10" t="n">
        <x:v>15000</x:v>
      </x:c>
      <x:c r="G8" s="8" t="n">
        <x:f>INDEX('Órdenes'!$B$7:$B$334,MATCH(A8,'Órdenes'!$A$7:$A$334,0))</x:f>
        <x:v>46025</x:v>
      </x:c>
      <x:c r="H8" s="11" t="n">
        <x:f>DATE(YEAR(G8),MONTH(G8),1)</x:f>
        <x:v>46023</x:v>
      </x:c>
    </x:row>
    <x:row r="9" ht="23" customHeight="1">
      <x:c r="A9" s="2" t="str">
        <x:v>SIM-202601-002</x:v>
      </x:c>
      <x:c r="B9" s="2" t="str">
        <x:v>Salchipapas</x:v>
      </x:c>
      <x:c r="C9" s="2" t="str"/>
      <x:c r="D9" s="2" t="n">
        <x:v>1</x:v>
      </x:c>
      <x:c r="E9" s="10" t="n">
        <x:v>12000</x:v>
      </x:c>
      <x:c r="F9" s="10" t="n">
        <x:v>12000</x:v>
      </x:c>
      <x:c r="G9" s="8" t="n">
        <x:f>INDEX('Órdenes'!$B$7:$B$334,MATCH(A9,'Órdenes'!$A$7:$A$334,0))</x:f>
        <x:v>46025</x:v>
      </x:c>
      <x:c r="H9" s="11" t="n">
        <x:f>DATE(YEAR(G9),MONTH(G9),1)</x:f>
        <x:v>46023</x:v>
      </x:c>
    </x:row>
    <x:row r="10" ht="23" customHeight="1">
      <x:c r="A10" s="2" t="str">
        <x:v>SIM-202601-002</x:v>
      </x:c>
      <x:c r="B10" s="2" t="str">
        <x:v>Gaseosas</x:v>
      </x:c>
      <x:c r="C10" s="2" t="str">
        <x:v>Coca-Cola</x:v>
      </x:c>
      <x:c r="D10" s="2" t="n">
        <x:v>1</x:v>
      </x:c>
      <x:c r="E10" s="10" t="n">
        <x:v>5000</x:v>
      </x:c>
      <x:c r="F10" s="10" t="n">
        <x:v>5000</x:v>
      </x:c>
      <x:c r="G10" s="8" t="n">
        <x:f>INDEX('Órdenes'!$B$7:$B$334,MATCH(A10,'Órdenes'!$A$7:$A$334,0))</x:f>
        <x:v>46025</x:v>
      </x:c>
      <x:c r="H10" s="11" t="n">
        <x:f>DATE(YEAR(G10),MONTH(G10),1)</x:f>
        <x:v>46023</x:v>
      </x:c>
    </x:row>
    <x:row r="11" ht="23" customHeight="1">
      <x:c r="A11" s="2" t="str">
        <x:v>SIM-202601-003</x:v>
      </x:c>
      <x:c r="B11" s="2" t="str">
        <x:v>Hamburguesa especial</x:v>
      </x:c>
      <x:c r="C11" s="2" t="str"/>
      <x:c r="D11" s="2" t="n">
        <x:v>1</x:v>
      </x:c>
      <x:c r="E11" s="10" t="n">
        <x:v>20000</x:v>
      </x:c>
      <x:c r="F11" s="10" t="n">
        <x:v>20000</x:v>
      </x:c>
      <x:c r="G11" s="8" t="n">
        <x:f>INDEX('Órdenes'!$B$7:$B$334,MATCH(A11,'Órdenes'!$A$7:$A$334,0))</x:f>
        <x:v>46025</x:v>
      </x:c>
      <x:c r="H11" s="11" t="n">
        <x:f>DATE(YEAR(G11),MONTH(G11),1)</x:f>
        <x:v>46023</x:v>
      </x:c>
    </x:row>
    <x:row r="12" ht="23" customHeight="1">
      <x:c r="A12" s="2" t="str">
        <x:v>SIM-202601-003</x:v>
      </x:c>
      <x:c r="B12" s="2" t="str">
        <x:v>Perro caliente</x:v>
      </x:c>
      <x:c r="C12" s="2" t="str"/>
      <x:c r="D12" s="2" t="n">
        <x:v>1</x:v>
      </x:c>
      <x:c r="E12" s="10" t="n">
        <x:v>13000</x:v>
      </x:c>
      <x:c r="F12" s="10" t="n">
        <x:v>13000</x:v>
      </x:c>
      <x:c r="G12" s="8" t="n">
        <x:f>INDEX('Órdenes'!$B$7:$B$334,MATCH(A12,'Órdenes'!$A$7:$A$334,0))</x:f>
        <x:v>46025</x:v>
      </x:c>
      <x:c r="H12" s="11" t="n">
        <x:f>DATE(YEAR(G12),MONTH(G12),1)</x:f>
        <x:v>46023</x:v>
      </x:c>
    </x:row>
    <x:row r="13" ht="23" customHeight="1">
      <x:c r="A13" s="2" t="str">
        <x:v>SIM-202601-003</x:v>
      </x:c>
      <x:c r="B13" s="2" t="str">
        <x:v>Gaseosas</x:v>
      </x:c>
      <x:c r="C13" s="2" t="str">
        <x:v>Coca-Cola</x:v>
      </x:c>
      <x:c r="D13" s="2" t="n">
        <x:v>1</x:v>
      </x:c>
      <x:c r="E13" s="10" t="n">
        <x:v>5000</x:v>
      </x:c>
      <x:c r="F13" s="10" t="n">
        <x:v>5000</x:v>
      </x:c>
      <x:c r="G13" s="8" t="n">
        <x:f>INDEX('Órdenes'!$B$7:$B$334,MATCH(A13,'Órdenes'!$A$7:$A$334,0))</x:f>
        <x:v>46025</x:v>
      </x:c>
      <x:c r="H13" s="11" t="n">
        <x:f>DATE(YEAR(G13),MONTH(G13),1)</x:f>
        <x:v>46023</x:v>
      </x:c>
    </x:row>
    <x:row r="14" ht="23" customHeight="1">
      <x:c r="A14" s="2" t="str">
        <x:v>SIM-202601-003</x:v>
      </x:c>
      <x:c r="B14" s="2" t="str">
        <x:v>Gaseosas</x:v>
      </x:c>
      <x:c r="C14" s="2" t="str">
        <x:v>Sprite</x:v>
      </x:c>
      <x:c r="D14" s="2" t="n">
        <x:v>1</x:v>
      </x:c>
      <x:c r="E14" s="10" t="n">
        <x:v>5000</x:v>
      </x:c>
      <x:c r="F14" s="10" t="n">
        <x:v>5000</x:v>
      </x:c>
      <x:c r="G14" s="8" t="n">
        <x:f>INDEX('Órdenes'!$B$7:$B$334,MATCH(A14,'Órdenes'!$A$7:$A$334,0))</x:f>
        <x:v>46025</x:v>
      </x:c>
      <x:c r="H14" s="11" t="n">
        <x:f>DATE(YEAR(G14),MONTH(G14),1)</x:f>
        <x:v>46023</x:v>
      </x:c>
    </x:row>
    <x:row r="15" ht="23" customHeight="1">
      <x:c r="A15" s="2" t="str">
        <x:v>SIM-202601-004</x:v>
      </x:c>
      <x:c r="B15" s="2" t="str">
        <x:v>Hamburguesa especial</x:v>
      </x:c>
      <x:c r="C15" s="2" t="str"/>
      <x:c r="D15" s="2" t="n">
        <x:v>2</x:v>
      </x:c>
      <x:c r="E15" s="10" t="n">
        <x:v>20000</x:v>
      </x:c>
      <x:c r="F15" s="10" t="n">
        <x:v>40000</x:v>
      </x:c>
      <x:c r="G15" s="8" t="n">
        <x:f>INDEX('Órdenes'!$B$7:$B$334,MATCH(A15,'Órdenes'!$A$7:$A$334,0))</x:f>
        <x:v>46025</x:v>
      </x:c>
      <x:c r="H15" s="11" t="n">
        <x:f>DATE(YEAR(G15),MONTH(G15),1)</x:f>
        <x:v>46023</x:v>
      </x:c>
    </x:row>
    <x:row r="16" ht="23" customHeight="1">
      <x:c r="A16" s="2" t="str">
        <x:v>SIM-202601-004</x:v>
      </x:c>
      <x:c r="B16" s="2" t="str">
        <x:v>Gaseosas</x:v>
      </x:c>
      <x:c r="C16" s="2" t="str">
        <x:v>Coca-Cola</x:v>
      </x:c>
      <x:c r="D16" s="2" t="n">
        <x:v>1</x:v>
      </x:c>
      <x:c r="E16" s="10" t="n">
        <x:v>5000</x:v>
      </x:c>
      <x:c r="F16" s="10" t="n">
        <x:v>5000</x:v>
      </x:c>
      <x:c r="G16" s="8" t="n">
        <x:f>INDEX('Órdenes'!$B$7:$B$334,MATCH(A16,'Órdenes'!$A$7:$A$334,0))</x:f>
        <x:v>46025</x:v>
      </x:c>
      <x:c r="H16" s="11" t="n">
        <x:f>DATE(YEAR(G16),MONTH(G16),1)</x:f>
        <x:v>46023</x:v>
      </x:c>
    </x:row>
    <x:row r="17" ht="23" customHeight="1">
      <x:c r="A17" s="2" t="str">
        <x:v>SIM-202601-004</x:v>
      </x:c>
      <x:c r="B17" s="2" t="str">
        <x:v>Gaseosas</x:v>
      </x:c>
      <x:c r="C17" s="2" t="str">
        <x:v>Manzana</x:v>
      </x:c>
      <x:c r="D17" s="2" t="n">
        <x:v>1</x:v>
      </x:c>
      <x:c r="E17" s="10" t="n">
        <x:v>5000</x:v>
      </x:c>
      <x:c r="F17" s="10" t="n">
        <x:v>5000</x:v>
      </x:c>
      <x:c r="G17" s="8" t="n">
        <x:f>INDEX('Órdenes'!$B$7:$B$334,MATCH(A17,'Órdenes'!$A$7:$A$334,0))</x:f>
        <x:v>46025</x:v>
      </x:c>
      <x:c r="H17" s="11" t="n">
        <x:f>DATE(YEAR(G17),MONTH(G17),1)</x:f>
        <x:v>46023</x:v>
      </x:c>
    </x:row>
    <x:row r="18" ht="23" customHeight="1">
      <x:c r="A18" s="2" t="str">
        <x:v>SIM-202601-005</x:v>
      </x:c>
      <x:c r="B18" s="2" t="str">
        <x:v>Hamburguesa Clásica</x:v>
      </x:c>
      <x:c r="C18" s="2" t="str"/>
      <x:c r="D18" s="2" t="n">
        <x:v>1</x:v>
      </x:c>
      <x:c r="E18" s="10" t="n">
        <x:v>15000</x:v>
      </x:c>
      <x:c r="F18" s="10" t="n">
        <x:v>15000</x:v>
      </x:c>
      <x:c r="G18" s="8" t="n">
        <x:f>INDEX('Órdenes'!$B$7:$B$334,MATCH(A18,'Órdenes'!$A$7:$A$334,0))</x:f>
        <x:v>46026</x:v>
      </x:c>
      <x:c r="H18" s="11" t="n">
        <x:f>DATE(YEAR(G18),MONTH(G18),1)</x:f>
        <x:v>46023</x:v>
      </x:c>
    </x:row>
    <x:row r="19" ht="23" customHeight="1">
      <x:c r="A19" s="2" t="str">
        <x:v>SIM-202601-005</x:v>
      </x:c>
      <x:c r="B19" s="2" t="str">
        <x:v>Gaseosas</x:v>
      </x:c>
      <x:c r="C19" s="2" t="str">
        <x:v>Manzana</x:v>
      </x:c>
      <x:c r="D19" s="2" t="n">
        <x:v>1</x:v>
      </x:c>
      <x:c r="E19" s="10" t="n">
        <x:v>5000</x:v>
      </x:c>
      <x:c r="F19" s="10" t="n">
        <x:v>5000</x:v>
      </x:c>
      <x:c r="G19" s="8" t="n">
        <x:f>INDEX('Órdenes'!$B$7:$B$334,MATCH(A19,'Órdenes'!$A$7:$A$334,0))</x:f>
        <x:v>46026</x:v>
      </x:c>
      <x:c r="H19" s="11" t="n">
        <x:f>DATE(YEAR(G19),MONTH(G19),1)</x:f>
        <x:v>46023</x:v>
      </x:c>
    </x:row>
    <x:row r="20" ht="23" customHeight="1">
      <x:c r="A20" s="2" t="str">
        <x:v>SIM-202601-006</x:v>
      </x:c>
      <x:c r="B20" s="2" t="str">
        <x:v>Salchipapas</x:v>
      </x:c>
      <x:c r="C20" s="2" t="str"/>
      <x:c r="D20" s="2" t="n">
        <x:v>1</x:v>
      </x:c>
      <x:c r="E20" s="10" t="n">
        <x:v>12000</x:v>
      </x:c>
      <x:c r="F20" s="10" t="n">
        <x:v>12000</x:v>
      </x:c>
      <x:c r="G20" s="8" t="n">
        <x:f>INDEX('Órdenes'!$B$7:$B$334,MATCH(A20,'Órdenes'!$A$7:$A$334,0))</x:f>
        <x:v>46026</x:v>
      </x:c>
      <x:c r="H20" s="11" t="n">
        <x:f>DATE(YEAR(G20),MONTH(G20),1)</x:f>
        <x:v>46023</x:v>
      </x:c>
    </x:row>
    <x:row r="21" ht="23" customHeight="1">
      <x:c r="A21" s="2" t="str">
        <x:v>SIM-202601-006</x:v>
      </x:c>
      <x:c r="B21" s="2" t="str">
        <x:v>Gaseosas</x:v>
      </x:c>
      <x:c r="C21" s="2" t="str">
        <x:v>Coca-Cola</x:v>
      </x:c>
      <x:c r="D21" s="2" t="n">
        <x:v>1</x:v>
      </x:c>
      <x:c r="E21" s="10" t="n">
        <x:v>5000</x:v>
      </x:c>
      <x:c r="F21" s="10" t="n">
        <x:v>5000</x:v>
      </x:c>
      <x:c r="G21" s="8" t="n">
        <x:f>INDEX('Órdenes'!$B$7:$B$334,MATCH(A21,'Órdenes'!$A$7:$A$334,0))</x:f>
        <x:v>46026</x:v>
      </x:c>
      <x:c r="H21" s="11" t="n">
        <x:f>DATE(YEAR(G21),MONTH(G21),1)</x:f>
        <x:v>46023</x:v>
      </x:c>
    </x:row>
    <x:row r="22" ht="23" customHeight="1">
      <x:c r="A22" s="2" t="str">
        <x:v>SIM-202601-007</x:v>
      </x:c>
      <x:c r="B22" s="2" t="str">
        <x:v>Hamburguesa Clásica</x:v>
      </x:c>
      <x:c r="C22" s="2" t="str"/>
      <x:c r="D22" s="2" t="n">
        <x:v>2</x:v>
      </x:c>
      <x:c r="E22" s="10" t="n">
        <x:v>15000</x:v>
      </x:c>
      <x:c r="F22" s="10" t="n">
        <x:v>30000</x:v>
      </x:c>
      <x:c r="G22" s="8" t="n">
        <x:f>INDEX('Órdenes'!$B$7:$B$334,MATCH(A22,'Órdenes'!$A$7:$A$334,0))</x:f>
        <x:v>46029</x:v>
      </x:c>
      <x:c r="H22" s="11" t="n">
        <x:f>DATE(YEAR(G22),MONTH(G22),1)</x:f>
        <x:v>46023</x:v>
      </x:c>
    </x:row>
    <x:row r="23" ht="23" customHeight="1">
      <x:c r="A23" s="2" t="str">
        <x:v>SIM-202601-007</x:v>
      </x:c>
      <x:c r="B23" s="2" t="str">
        <x:v>Hamburguesa especial</x:v>
      </x:c>
      <x:c r="C23" s="2" t="str"/>
      <x:c r="D23" s="2" t="n">
        <x:v>1</x:v>
      </x:c>
      <x:c r="E23" s="10" t="n">
        <x:v>20000</x:v>
      </x:c>
      <x:c r="F23" s="10" t="n">
        <x:v>20000</x:v>
      </x:c>
      <x:c r="G23" s="8" t="n">
        <x:f>INDEX('Órdenes'!$B$7:$B$334,MATCH(A23,'Órdenes'!$A$7:$A$334,0))</x:f>
        <x:v>46029</x:v>
      </x:c>
      <x:c r="H23" s="11" t="n">
        <x:f>DATE(YEAR(G23),MONTH(G23),1)</x:f>
        <x:v>46023</x:v>
      </x:c>
    </x:row>
    <x:row r="24" ht="23" customHeight="1">
      <x:c r="A24" s="2" t="str">
        <x:v>SIM-202601-007</x:v>
      </x:c>
      <x:c r="B24" s="2" t="str">
        <x:v>Gaseosas</x:v>
      </x:c>
      <x:c r="C24" s="2" t="str">
        <x:v>Coca-Cola</x:v>
      </x:c>
      <x:c r="D24" s="2" t="n">
        <x:v>1</x:v>
      </x:c>
      <x:c r="E24" s="10" t="n">
        <x:v>5000</x:v>
      </x:c>
      <x:c r="F24" s="10" t="n">
        <x:v>5000</x:v>
      </x:c>
      <x:c r="G24" s="8" t="n">
        <x:f>INDEX('Órdenes'!$B$7:$B$334,MATCH(A24,'Órdenes'!$A$7:$A$334,0))</x:f>
        <x:v>46029</x:v>
      </x:c>
      <x:c r="H24" s="11" t="n">
        <x:f>DATE(YEAR(G24),MONTH(G24),1)</x:f>
        <x:v>46023</x:v>
      </x:c>
    </x:row>
    <x:row r="25" ht="23" customHeight="1">
      <x:c r="A25" s="2" t="str">
        <x:v>SIM-202601-007</x:v>
      </x:c>
      <x:c r="B25" s="2" t="str">
        <x:v>Gaseosas</x:v>
      </x:c>
      <x:c r="C25" s="2" t="str">
        <x:v>Manzana</x:v>
      </x:c>
      <x:c r="D25" s="2" t="n">
        <x:v>1</x:v>
      </x:c>
      <x:c r="E25" s="10" t="n">
        <x:v>5000</x:v>
      </x:c>
      <x:c r="F25" s="10" t="n">
        <x:v>5000</x:v>
      </x:c>
      <x:c r="G25" s="8" t="n">
        <x:f>INDEX('Órdenes'!$B$7:$B$334,MATCH(A25,'Órdenes'!$A$7:$A$334,0))</x:f>
        <x:v>46029</x:v>
      </x:c>
      <x:c r="H25" s="11" t="n">
        <x:f>DATE(YEAR(G25),MONTH(G25),1)</x:f>
        <x:v>46023</x:v>
      </x:c>
    </x:row>
    <x:row r="26" ht="23" customHeight="1">
      <x:c r="A26" s="2" t="str">
        <x:v>SIM-202601-008</x:v>
      </x:c>
      <x:c r="B26" s="2" t="str">
        <x:v>Salchipapas</x:v>
      </x:c>
      <x:c r="C26" s="2" t="str"/>
      <x:c r="D26" s="2" t="n">
        <x:v>1</x:v>
      </x:c>
      <x:c r="E26" s="10" t="n">
        <x:v>12000</x:v>
      </x:c>
      <x:c r="F26" s="10" t="n">
        <x:v>12000</x:v>
      </x:c>
      <x:c r="G26" s="8" t="n">
        <x:f>INDEX('Órdenes'!$B$7:$B$334,MATCH(A26,'Órdenes'!$A$7:$A$334,0))</x:f>
        <x:v>46029</x:v>
      </x:c>
      <x:c r="H26" s="11" t="n">
        <x:f>DATE(YEAR(G26),MONTH(G26),1)</x:f>
        <x:v>46023</x:v>
      </x:c>
    </x:row>
    <x:row r="27" ht="23" customHeight="1">
      <x:c r="A27" s="2" t="str">
        <x:v>SIM-202601-009</x:v>
      </x:c>
      <x:c r="B27" s="2" t="str">
        <x:v>Hamburguesa Clásica</x:v>
      </x:c>
      <x:c r="C27" s="2" t="str"/>
      <x:c r="D27" s="2" t="n">
        <x:v>1</x:v>
      </x:c>
      <x:c r="E27" s="10" t="n">
        <x:v>15000</x:v>
      </x:c>
      <x:c r="F27" s="10" t="n">
        <x:v>15000</x:v>
      </x:c>
      <x:c r="G27" s="8" t="n">
        <x:f>INDEX('Órdenes'!$B$7:$B$334,MATCH(A27,'Órdenes'!$A$7:$A$334,0))</x:f>
        <x:v>46030</x:v>
      </x:c>
      <x:c r="H27" s="11" t="n">
        <x:f>DATE(YEAR(G27),MONTH(G27),1)</x:f>
        <x:v>46023</x:v>
      </x:c>
    </x:row>
    <x:row r="28" ht="23" customHeight="1">
      <x:c r="A28" s="2" t="str">
        <x:v>SIM-202601-009</x:v>
      </x:c>
      <x:c r="B28" s="2" t="str">
        <x:v>Gaseosas</x:v>
      </x:c>
      <x:c r="C28" s="2" t="str">
        <x:v>Sprite</x:v>
      </x:c>
      <x:c r="D28" s="2" t="n">
        <x:v>1</x:v>
      </x:c>
      <x:c r="E28" s="10" t="n">
        <x:v>5000</x:v>
      </x:c>
      <x:c r="F28" s="10" t="n">
        <x:v>5000</x:v>
      </x:c>
      <x:c r="G28" s="8" t="n">
        <x:f>INDEX('Órdenes'!$B$7:$B$334,MATCH(A28,'Órdenes'!$A$7:$A$334,0))</x:f>
        <x:v>46030</x:v>
      </x:c>
      <x:c r="H28" s="11" t="n">
        <x:f>DATE(YEAR(G28),MONTH(G28),1)</x:f>
        <x:v>46023</x:v>
      </x:c>
    </x:row>
    <x:row r="29" ht="23" customHeight="1">
      <x:c r="A29" s="2" t="str">
        <x:v>SIM-202601-010</x:v>
      </x:c>
      <x:c r="B29" s="2" t="str">
        <x:v>Perro caliente</x:v>
      </x:c>
      <x:c r="C29" s="2" t="str"/>
      <x:c r="D29" s="2" t="n">
        <x:v>1</x:v>
      </x:c>
      <x:c r="E29" s="10" t="n">
        <x:v>13000</x:v>
      </x:c>
      <x:c r="F29" s="10" t="n">
        <x:v>13000</x:v>
      </x:c>
      <x:c r="G29" s="8" t="n">
        <x:f>INDEX('Órdenes'!$B$7:$B$334,MATCH(A29,'Órdenes'!$A$7:$A$334,0))</x:f>
        <x:v>46033</x:v>
      </x:c>
      <x:c r="H29" s="11" t="n">
        <x:f>DATE(YEAR(G29),MONTH(G29),1)</x:f>
        <x:v>46023</x:v>
      </x:c>
    </x:row>
    <x:row r="30" ht="23" customHeight="1">
      <x:c r="A30" s="2" t="str">
        <x:v>SIM-202601-011</x:v>
      </x:c>
      <x:c r="B30" s="2" t="str">
        <x:v>Hamburguesa especial</x:v>
      </x:c>
      <x:c r="C30" s="2" t="str"/>
      <x:c r="D30" s="2" t="n">
        <x:v>2</x:v>
      </x:c>
      <x:c r="E30" s="10" t="n">
        <x:v>20000</x:v>
      </x:c>
      <x:c r="F30" s="10" t="n">
        <x:v>40000</x:v>
      </x:c>
      <x:c r="G30" s="8" t="n">
        <x:f>INDEX('Órdenes'!$B$7:$B$334,MATCH(A30,'Órdenes'!$A$7:$A$334,0))</x:f>
        <x:v>46035</x:v>
      </x:c>
      <x:c r="H30" s="11" t="n">
        <x:f>DATE(YEAR(G30),MONTH(G30),1)</x:f>
        <x:v>46023</x:v>
      </x:c>
    </x:row>
    <x:row r="31" ht="23" customHeight="1">
      <x:c r="A31" s="2" t="str">
        <x:v>SIM-202601-011</x:v>
      </x:c>
      <x:c r="B31" s="2" t="str">
        <x:v>Gaseosas</x:v>
      </x:c>
      <x:c r="C31" s="2" t="str">
        <x:v>Coca-Cola</x:v>
      </x:c>
      <x:c r="D31" s="2" t="n">
        <x:v>1</x:v>
      </x:c>
      <x:c r="E31" s="10" t="n">
        <x:v>5000</x:v>
      </x:c>
      <x:c r="F31" s="10" t="n">
        <x:v>5000</x:v>
      </x:c>
      <x:c r="G31" s="8" t="n">
        <x:f>INDEX('Órdenes'!$B$7:$B$334,MATCH(A31,'Órdenes'!$A$7:$A$334,0))</x:f>
        <x:v>46035</x:v>
      </x:c>
      <x:c r="H31" s="11" t="n">
        <x:f>DATE(YEAR(G31),MONTH(G31),1)</x:f>
        <x:v>46023</x:v>
      </x:c>
    </x:row>
    <x:row r="32" ht="23" customHeight="1">
      <x:c r="A32" s="2" t="str">
        <x:v>SIM-202601-011</x:v>
      </x:c>
      <x:c r="B32" s="2" t="str">
        <x:v>Gaseosas</x:v>
      </x:c>
      <x:c r="C32" s="2" t="str">
        <x:v>Manzana</x:v>
      </x:c>
      <x:c r="D32" s="2" t="n">
        <x:v>1</x:v>
      </x:c>
      <x:c r="E32" s="10" t="n">
        <x:v>5000</x:v>
      </x:c>
      <x:c r="F32" s="10" t="n">
        <x:v>5000</x:v>
      </x:c>
      <x:c r="G32" s="8" t="n">
        <x:f>INDEX('Órdenes'!$B$7:$B$334,MATCH(A32,'Órdenes'!$A$7:$A$334,0))</x:f>
        <x:v>46035</x:v>
      </x:c>
      <x:c r="H32" s="11" t="n">
        <x:f>DATE(YEAR(G32),MONTH(G32),1)</x:f>
        <x:v>46023</x:v>
      </x:c>
    </x:row>
    <x:row r="33" ht="23" customHeight="1">
      <x:c r="A33" s="2" t="str">
        <x:v>SIM-202601-012</x:v>
      </x:c>
      <x:c r="B33" s="2" t="str">
        <x:v>Salchipapas</x:v>
      </x:c>
      <x:c r="C33" s="2" t="str"/>
      <x:c r="D33" s="2" t="n">
        <x:v>1</x:v>
      </x:c>
      <x:c r="E33" s="10" t="n">
        <x:v>12000</x:v>
      </x:c>
      <x:c r="F33" s="10" t="n">
        <x:v>12000</x:v>
      </x:c>
      <x:c r="G33" s="8" t="n">
        <x:f>INDEX('Órdenes'!$B$7:$B$334,MATCH(A33,'Órdenes'!$A$7:$A$334,0))</x:f>
        <x:v>46035</x:v>
      </x:c>
      <x:c r="H33" s="11" t="n">
        <x:f>DATE(YEAR(G33),MONTH(G33),1)</x:f>
        <x:v>46023</x:v>
      </x:c>
    </x:row>
    <x:row r="34" ht="23" customHeight="1">
      <x:c r="A34" s="2" t="str">
        <x:v>SIM-202601-012</x:v>
      </x:c>
      <x:c r="B34" s="2" t="str">
        <x:v>Gaseosas</x:v>
      </x:c>
      <x:c r="C34" s="2" t="str">
        <x:v>Coca-Cola</x:v>
      </x:c>
      <x:c r="D34" s="2" t="n">
        <x:v>1</x:v>
      </x:c>
      <x:c r="E34" s="10" t="n">
        <x:v>5000</x:v>
      </x:c>
      <x:c r="F34" s="10" t="n">
        <x:v>5000</x:v>
      </x:c>
      <x:c r="G34" s="8" t="n">
        <x:f>INDEX('Órdenes'!$B$7:$B$334,MATCH(A34,'Órdenes'!$A$7:$A$334,0))</x:f>
        <x:v>46035</x:v>
      </x:c>
      <x:c r="H34" s="11" t="n">
        <x:f>DATE(YEAR(G34),MONTH(G34),1)</x:f>
        <x:v>46023</x:v>
      </x:c>
    </x:row>
    <x:row r="35" ht="23" customHeight="1">
      <x:c r="A35" s="2" t="str">
        <x:v>SIM-202601-013</x:v>
      </x:c>
      <x:c r="B35" s="2" t="str">
        <x:v>Hamburguesa especial</x:v>
      </x:c>
      <x:c r="C35" s="2" t="str"/>
      <x:c r="D35" s="2" t="n">
        <x:v>1</x:v>
      </x:c>
      <x:c r="E35" s="10" t="n">
        <x:v>20000</x:v>
      </x:c>
      <x:c r="F35" s="10" t="n">
        <x:v>20000</x:v>
      </x:c>
      <x:c r="G35" s="8" t="n">
        <x:f>INDEX('Órdenes'!$B$7:$B$334,MATCH(A35,'Órdenes'!$A$7:$A$334,0))</x:f>
        <x:v>46036</x:v>
      </x:c>
      <x:c r="H35" s="11" t="n">
        <x:f>DATE(YEAR(G35),MONTH(G35),1)</x:f>
        <x:v>46023</x:v>
      </x:c>
    </x:row>
    <x:row r="36" ht="23" customHeight="1">
      <x:c r="A36" s="2" t="str">
        <x:v>SIM-202601-013</x:v>
      </x:c>
      <x:c r="B36" s="2" t="str">
        <x:v>Gaseosas</x:v>
      </x:c>
      <x:c r="C36" s="2" t="str">
        <x:v>Coca-Cola</x:v>
      </x:c>
      <x:c r="D36" s="2" t="n">
        <x:v>1</x:v>
      </x:c>
      <x:c r="E36" s="10" t="n">
        <x:v>5000</x:v>
      </x:c>
      <x:c r="F36" s="10" t="n">
        <x:v>5000</x:v>
      </x:c>
      <x:c r="G36" s="8" t="n">
        <x:f>INDEX('Órdenes'!$B$7:$B$334,MATCH(A36,'Órdenes'!$A$7:$A$334,0))</x:f>
        <x:v>46036</x:v>
      </x:c>
      <x:c r="H36" s="11" t="n">
        <x:f>DATE(YEAR(G36),MONTH(G36),1)</x:f>
        <x:v>46023</x:v>
      </x:c>
    </x:row>
    <x:row r="37" ht="23" customHeight="1">
      <x:c r="A37" s="2" t="str">
        <x:v>SIM-202601-014</x:v>
      </x:c>
      <x:c r="B37" s="2" t="str">
        <x:v>Perro caliente</x:v>
      </x:c>
      <x:c r="C37" s="2" t="str"/>
      <x:c r="D37" s="2" t="n">
        <x:v>1</x:v>
      </x:c>
      <x:c r="E37" s="10" t="n">
        <x:v>13000</x:v>
      </x:c>
      <x:c r="F37" s="10" t="n">
        <x:v>13000</x:v>
      </x:c>
      <x:c r="G37" s="8" t="n">
        <x:f>INDEX('Órdenes'!$B$7:$B$334,MATCH(A37,'Órdenes'!$A$7:$A$334,0))</x:f>
        <x:v>46037</x:v>
      </x:c>
      <x:c r="H37" s="11" t="n">
        <x:f>DATE(YEAR(G37),MONTH(G37),1)</x:f>
        <x:v>46023</x:v>
      </x:c>
    </x:row>
    <x:row r="38" ht="23" customHeight="1">
      <x:c r="A38" s="2" t="str">
        <x:v>SIM-202601-014</x:v>
      </x:c>
      <x:c r="B38" s="2" t="str">
        <x:v>Gaseosas</x:v>
      </x:c>
      <x:c r="C38" s="2" t="str">
        <x:v>Coca-Cola</x:v>
      </x:c>
      <x:c r="D38" s="2" t="n">
        <x:v>1</x:v>
      </x:c>
      <x:c r="E38" s="10" t="n">
        <x:v>5000</x:v>
      </x:c>
      <x:c r="F38" s="10" t="n">
        <x:v>5000</x:v>
      </x:c>
      <x:c r="G38" s="8" t="n">
        <x:f>INDEX('Órdenes'!$B$7:$B$334,MATCH(A38,'Órdenes'!$A$7:$A$334,0))</x:f>
        <x:v>46037</x:v>
      </x:c>
      <x:c r="H38" s="11" t="n">
        <x:f>DATE(YEAR(G38),MONTH(G38),1)</x:f>
        <x:v>46023</x:v>
      </x:c>
    </x:row>
    <x:row r="39" ht="23" customHeight="1">
      <x:c r="A39" s="2" t="str">
        <x:v>SIM-202601-015</x:v>
      </x:c>
      <x:c r="B39" s="2" t="str">
        <x:v>Hamburguesa Clásica</x:v>
      </x:c>
      <x:c r="C39" s="2" t="str"/>
      <x:c r="D39" s="2" t="n">
        <x:v>1</x:v>
      </x:c>
      <x:c r="E39" s="10" t="n">
        <x:v>15000</x:v>
      </x:c>
      <x:c r="F39" s="10" t="n">
        <x:v>15000</x:v>
      </x:c>
      <x:c r="G39" s="8" t="n">
        <x:f>INDEX('Órdenes'!$B$7:$B$334,MATCH(A39,'Órdenes'!$A$7:$A$334,0))</x:f>
        <x:v>46038</x:v>
      </x:c>
      <x:c r="H39" s="11" t="n">
        <x:f>DATE(YEAR(G39),MONTH(G39),1)</x:f>
        <x:v>46023</x:v>
      </x:c>
    </x:row>
    <x:row r="40" ht="23" customHeight="1">
      <x:c r="A40" s="2" t="str">
        <x:v>SIM-202601-015</x:v>
      </x:c>
      <x:c r="B40" s="2" t="str">
        <x:v>Perro caliente</x:v>
      </x:c>
      <x:c r="C40" s="2" t="str"/>
      <x:c r="D40" s="2" t="n">
        <x:v>1</x:v>
      </x:c>
      <x:c r="E40" s="10" t="n">
        <x:v>13000</x:v>
      </x:c>
      <x:c r="F40" s="10" t="n">
        <x:v>13000</x:v>
      </x:c>
      <x:c r="G40" s="8" t="n">
        <x:f>INDEX('Órdenes'!$B$7:$B$334,MATCH(A40,'Órdenes'!$A$7:$A$334,0))</x:f>
        <x:v>46038</x:v>
      </x:c>
      <x:c r="H40" s="11" t="n">
        <x:f>DATE(YEAR(G40),MONTH(G40),1)</x:f>
        <x:v>46023</x:v>
      </x:c>
    </x:row>
    <x:row r="41" ht="23" customHeight="1">
      <x:c r="A41" s="2" t="str">
        <x:v>SIM-202601-015</x:v>
      </x:c>
      <x:c r="B41" s="2" t="str">
        <x:v>Salchipapas</x:v>
      </x:c>
      <x:c r="C41" s="2" t="str"/>
      <x:c r="D41" s="2" t="n">
        <x:v>1</x:v>
      </x:c>
      <x:c r="E41" s="10" t="n">
        <x:v>12000</x:v>
      </x:c>
      <x:c r="F41" s="10" t="n">
        <x:v>12000</x:v>
      </x:c>
      <x:c r="G41" s="8" t="n">
        <x:f>INDEX('Órdenes'!$B$7:$B$334,MATCH(A41,'Órdenes'!$A$7:$A$334,0))</x:f>
        <x:v>46038</x:v>
      </x:c>
      <x:c r="H41" s="11" t="n">
        <x:f>DATE(YEAR(G41),MONTH(G41),1)</x:f>
        <x:v>46023</x:v>
      </x:c>
    </x:row>
    <x:row r="42" ht="23" customHeight="1">
      <x:c r="A42" s="2" t="str">
        <x:v>SIM-202601-015</x:v>
      </x:c>
      <x:c r="B42" s="2" t="str">
        <x:v>Gaseosas</x:v>
      </x:c>
      <x:c r="C42" s="2" t="str">
        <x:v>Sprite</x:v>
      </x:c>
      <x:c r="D42" s="2" t="n">
        <x:v>1</x:v>
      </x:c>
      <x:c r="E42" s="10" t="n">
        <x:v>5000</x:v>
      </x:c>
      <x:c r="F42" s="10" t="n">
        <x:v>5000</x:v>
      </x:c>
      <x:c r="G42" s="8" t="n">
        <x:f>INDEX('Órdenes'!$B$7:$B$334,MATCH(A42,'Órdenes'!$A$7:$A$334,0))</x:f>
        <x:v>46038</x:v>
      </x:c>
      <x:c r="H42" s="11" t="n">
        <x:f>DATE(YEAR(G42),MONTH(G42),1)</x:f>
        <x:v>46023</x:v>
      </x:c>
    </x:row>
    <x:row r="43" ht="23" customHeight="1">
      <x:c r="A43" s="2" t="str">
        <x:v>SIM-202601-016</x:v>
      </x:c>
      <x:c r="B43" s="2" t="str">
        <x:v>Hamburguesa especial</x:v>
      </x:c>
      <x:c r="C43" s="2" t="str"/>
      <x:c r="D43" s="2" t="n">
        <x:v>2</x:v>
      </x:c>
      <x:c r="E43" s="10" t="n">
        <x:v>20000</x:v>
      </x:c>
      <x:c r="F43" s="10" t="n">
        <x:v>40000</x:v>
      </x:c>
      <x:c r="G43" s="8" t="n">
        <x:f>INDEX('Órdenes'!$B$7:$B$334,MATCH(A43,'Órdenes'!$A$7:$A$334,0))</x:f>
        <x:v>46038</x:v>
      </x:c>
      <x:c r="H43" s="11" t="n">
        <x:f>DATE(YEAR(G43),MONTH(G43),1)</x:f>
        <x:v>46023</x:v>
      </x:c>
    </x:row>
    <x:row r="44" ht="23" customHeight="1">
      <x:c r="A44" s="2" t="str">
        <x:v>SIM-202601-016</x:v>
      </x:c>
      <x:c r="B44" s="2" t="str">
        <x:v>Salchipapas</x:v>
      </x:c>
      <x:c r="C44" s="2" t="str"/>
      <x:c r="D44" s="2" t="n">
        <x:v>1</x:v>
      </x:c>
      <x:c r="E44" s="10" t="n">
        <x:v>12000</x:v>
      </x:c>
      <x:c r="F44" s="10" t="n">
        <x:v>12000</x:v>
      </x:c>
      <x:c r="G44" s="8" t="n">
        <x:f>INDEX('Órdenes'!$B$7:$B$334,MATCH(A44,'Órdenes'!$A$7:$A$334,0))</x:f>
        <x:v>46038</x:v>
      </x:c>
      <x:c r="H44" s="11" t="n">
        <x:f>DATE(YEAR(G44),MONTH(G44),1)</x:f>
        <x:v>46023</x:v>
      </x:c>
    </x:row>
    <x:row r="45" ht="23" customHeight="1">
      <x:c r="A45" s="2" t="str">
        <x:v>SIM-202601-016</x:v>
      </x:c>
      <x:c r="B45" s="2" t="str">
        <x:v>Gaseosas</x:v>
      </x:c>
      <x:c r="C45" s="2" t="str">
        <x:v>Coca-Cola</x:v>
      </x:c>
      <x:c r="D45" s="2" t="n">
        <x:v>2</x:v>
      </x:c>
      <x:c r="E45" s="10" t="n">
        <x:v>5000</x:v>
      </x:c>
      <x:c r="F45" s="10" t="n">
        <x:v>10000</x:v>
      </x:c>
      <x:c r="G45" s="8" t="n">
        <x:f>INDEX('Órdenes'!$B$7:$B$334,MATCH(A45,'Órdenes'!$A$7:$A$334,0))</x:f>
        <x:v>46038</x:v>
      </x:c>
      <x:c r="H45" s="11" t="n">
        <x:f>DATE(YEAR(G45),MONTH(G45),1)</x:f>
        <x:v>46023</x:v>
      </x:c>
    </x:row>
    <x:row r="46" ht="23" customHeight="1">
      <x:c r="A46" s="2" t="str">
        <x:v>SIM-202601-016</x:v>
      </x:c>
      <x:c r="B46" s="2" t="str">
        <x:v>Gaseosas</x:v>
      </x:c>
      <x:c r="C46" s="2" t="str">
        <x:v>Manzana</x:v>
      </x:c>
      <x:c r="D46" s="2" t="n">
        <x:v>1</x:v>
      </x:c>
      <x:c r="E46" s="10" t="n">
        <x:v>5000</x:v>
      </x:c>
      <x:c r="F46" s="10" t="n">
        <x:v>5000</x:v>
      </x:c>
      <x:c r="G46" s="8" t="n">
        <x:f>INDEX('Órdenes'!$B$7:$B$334,MATCH(A46,'Órdenes'!$A$7:$A$334,0))</x:f>
        <x:v>46038</x:v>
      </x:c>
      <x:c r="H46" s="11" t="n">
        <x:f>DATE(YEAR(G46),MONTH(G46),1)</x:f>
        <x:v>46023</x:v>
      </x:c>
    </x:row>
    <x:row r="47" ht="23" customHeight="1">
      <x:c r="A47" s="2" t="str">
        <x:v>SIM-202601-017</x:v>
      </x:c>
      <x:c r="B47" s="2" t="str">
        <x:v>Hamburguesa Clásica</x:v>
      </x:c>
      <x:c r="C47" s="2" t="str"/>
      <x:c r="D47" s="2" t="n">
        <x:v>1</x:v>
      </x:c>
      <x:c r="E47" s="10" t="n">
        <x:v>15000</x:v>
      </x:c>
      <x:c r="F47" s="10" t="n">
        <x:v>15000</x:v>
      </x:c>
      <x:c r="G47" s="8" t="n">
        <x:f>INDEX('Órdenes'!$B$7:$B$334,MATCH(A47,'Órdenes'!$A$7:$A$334,0))</x:f>
        <x:v>46038</x:v>
      </x:c>
      <x:c r="H47" s="11" t="n">
        <x:f>DATE(YEAR(G47),MONTH(G47),1)</x:f>
        <x:v>46023</x:v>
      </x:c>
    </x:row>
    <x:row r="48" ht="23" customHeight="1">
      <x:c r="A48" s="2" t="str">
        <x:v>SIM-202601-017</x:v>
      </x:c>
      <x:c r="B48" s="2" t="str">
        <x:v>Salchipapas</x:v>
      </x:c>
      <x:c r="C48" s="2" t="str"/>
      <x:c r="D48" s="2" t="n">
        <x:v>1</x:v>
      </x:c>
      <x:c r="E48" s="10" t="n">
        <x:v>12000</x:v>
      </x:c>
      <x:c r="F48" s="10" t="n">
        <x:v>12000</x:v>
      </x:c>
      <x:c r="G48" s="8" t="n">
        <x:f>INDEX('Órdenes'!$B$7:$B$334,MATCH(A48,'Órdenes'!$A$7:$A$334,0))</x:f>
        <x:v>46038</x:v>
      </x:c>
      <x:c r="H48" s="11" t="n">
        <x:f>DATE(YEAR(G48),MONTH(G48),1)</x:f>
        <x:v>46023</x:v>
      </x:c>
    </x:row>
    <x:row r="49" ht="23" customHeight="1">
      <x:c r="A49" s="2" t="str">
        <x:v>SIM-202601-017</x:v>
      </x:c>
      <x:c r="B49" s="2" t="str">
        <x:v>Gaseosas</x:v>
      </x:c>
      <x:c r="C49" s="2" t="str">
        <x:v>Coca-Cola</x:v>
      </x:c>
      <x:c r="D49" s="2" t="n">
        <x:v>1</x:v>
      </x:c>
      <x:c r="E49" s="10" t="n">
        <x:v>5000</x:v>
      </x:c>
      <x:c r="F49" s="10" t="n">
        <x:v>5000</x:v>
      </x:c>
      <x:c r="G49" s="8" t="n">
        <x:f>INDEX('Órdenes'!$B$7:$B$334,MATCH(A49,'Órdenes'!$A$7:$A$334,0))</x:f>
        <x:v>46038</x:v>
      </x:c>
      <x:c r="H49" s="11" t="n">
        <x:f>DATE(YEAR(G49),MONTH(G49),1)</x:f>
        <x:v>46023</x:v>
      </x:c>
    </x:row>
    <x:row r="50" ht="23" customHeight="1">
      <x:c r="A50" s="2" t="str">
        <x:v>SIM-202601-017</x:v>
      </x:c>
      <x:c r="B50" s="2" t="str">
        <x:v>Gaseosas</x:v>
      </x:c>
      <x:c r="C50" s="2" t="str">
        <x:v>Manzana</x:v>
      </x:c>
      <x:c r="D50" s="2" t="n">
        <x:v>1</x:v>
      </x:c>
      <x:c r="E50" s="10" t="n">
        <x:v>5000</x:v>
      </x:c>
      <x:c r="F50" s="10" t="n">
        <x:v>5000</x:v>
      </x:c>
      <x:c r="G50" s="8" t="n">
        <x:f>INDEX('Órdenes'!$B$7:$B$334,MATCH(A50,'Órdenes'!$A$7:$A$334,0))</x:f>
        <x:v>46038</x:v>
      </x:c>
      <x:c r="H50" s="11" t="n">
        <x:f>DATE(YEAR(G50),MONTH(G50),1)</x:f>
        <x:v>46023</x:v>
      </x:c>
    </x:row>
    <x:row r="51" ht="23" customHeight="1">
      <x:c r="A51" s="2" t="str">
        <x:v>SIM-202601-018</x:v>
      </x:c>
      <x:c r="B51" s="2" t="str">
        <x:v>Hamburguesa Clásica</x:v>
      </x:c>
      <x:c r="C51" s="2" t="str"/>
      <x:c r="D51" s="2" t="n">
        <x:v>1</x:v>
      </x:c>
      <x:c r="E51" s="10" t="n">
        <x:v>15000</x:v>
      </x:c>
      <x:c r="F51" s="10" t="n">
        <x:v>15000</x:v>
      </x:c>
      <x:c r="G51" s="8" t="n">
        <x:f>INDEX('Órdenes'!$B$7:$B$334,MATCH(A51,'Órdenes'!$A$7:$A$334,0))</x:f>
        <x:v>46039</x:v>
      </x:c>
      <x:c r="H51" s="11" t="n">
        <x:f>DATE(YEAR(G51),MONTH(G51),1)</x:f>
        <x:v>46023</x:v>
      </x:c>
    </x:row>
    <x:row r="52" ht="23" customHeight="1">
      <x:c r="A52" s="2" t="str">
        <x:v>SIM-202601-018</x:v>
      </x:c>
      <x:c r="B52" s="2" t="str">
        <x:v>Gaseosas</x:v>
      </x:c>
      <x:c r="C52" s="2" t="str">
        <x:v>Coca-Cola</x:v>
      </x:c>
      <x:c r="D52" s="2" t="n">
        <x:v>1</x:v>
      </x:c>
      <x:c r="E52" s="10" t="n">
        <x:v>5000</x:v>
      </x:c>
      <x:c r="F52" s="10" t="n">
        <x:v>5000</x:v>
      </x:c>
      <x:c r="G52" s="8" t="n">
        <x:f>INDEX('Órdenes'!$B$7:$B$334,MATCH(A52,'Órdenes'!$A$7:$A$334,0))</x:f>
        <x:v>46039</x:v>
      </x:c>
      <x:c r="H52" s="11" t="n">
        <x:f>DATE(YEAR(G52),MONTH(G52),1)</x:f>
        <x:v>46023</x:v>
      </x:c>
    </x:row>
    <x:row r="53" ht="23" customHeight="1">
      <x:c r="A53" s="2" t="str">
        <x:v>SIM-202601-019</x:v>
      </x:c>
      <x:c r="B53" s="2" t="str">
        <x:v>Hamburguesa Clásica</x:v>
      </x:c>
      <x:c r="C53" s="2" t="str"/>
      <x:c r="D53" s="2" t="n">
        <x:v>1</x:v>
      </x:c>
      <x:c r="E53" s="10" t="n">
        <x:v>15000</x:v>
      </x:c>
      <x:c r="F53" s="10" t="n">
        <x:v>15000</x:v>
      </x:c>
      <x:c r="G53" s="8" t="n">
        <x:f>INDEX('Órdenes'!$B$7:$B$334,MATCH(A53,'Órdenes'!$A$7:$A$334,0))</x:f>
        <x:v>46039</x:v>
      </x:c>
      <x:c r="H53" s="11" t="n">
        <x:f>DATE(YEAR(G53),MONTH(G53),1)</x:f>
        <x:v>46023</x:v>
      </x:c>
    </x:row>
    <x:row r="54" ht="23" customHeight="1">
      <x:c r="A54" s="2" t="str">
        <x:v>SIM-202601-019</x:v>
      </x:c>
      <x:c r="B54" s="2" t="str">
        <x:v>Gaseosas</x:v>
      </x:c>
      <x:c r="C54" s="2" t="str">
        <x:v>Manzana</x:v>
      </x:c>
      <x:c r="D54" s="2" t="n">
        <x:v>1</x:v>
      </x:c>
      <x:c r="E54" s="10" t="n">
        <x:v>5000</x:v>
      </x:c>
      <x:c r="F54" s="10" t="n">
        <x:v>5000</x:v>
      </x:c>
      <x:c r="G54" s="8" t="n">
        <x:f>INDEX('Órdenes'!$B$7:$B$334,MATCH(A54,'Órdenes'!$A$7:$A$334,0))</x:f>
        <x:v>46039</x:v>
      </x:c>
      <x:c r="H54" s="11" t="n">
        <x:f>DATE(YEAR(G54),MONTH(G54),1)</x:f>
        <x:v>46023</x:v>
      </x:c>
    </x:row>
    <x:row r="55" ht="23" customHeight="1">
      <x:c r="A55" s="2" t="str">
        <x:v>SIM-202601-020</x:v>
      </x:c>
      <x:c r="B55" s="2" t="str">
        <x:v>Hamburguesa Clásica</x:v>
      </x:c>
      <x:c r="C55" s="2" t="str"/>
      <x:c r="D55" s="2" t="n">
        <x:v>1</x:v>
      </x:c>
      <x:c r="E55" s="10" t="n">
        <x:v>15000</x:v>
      </x:c>
      <x:c r="F55" s="10" t="n">
        <x:v>15000</x:v>
      </x:c>
      <x:c r="G55" s="8" t="n">
        <x:f>INDEX('Órdenes'!$B$7:$B$334,MATCH(A55,'Órdenes'!$A$7:$A$334,0))</x:f>
        <x:v>46039</x:v>
      </x:c>
      <x:c r="H55" s="11" t="n">
        <x:f>DATE(YEAR(G55),MONTH(G55),1)</x:f>
        <x:v>46023</x:v>
      </x:c>
    </x:row>
    <x:row r="56" ht="23" customHeight="1">
      <x:c r="A56" s="2" t="str">
        <x:v>SIM-202601-020</x:v>
      </x:c>
      <x:c r="B56" s="2" t="str">
        <x:v>Salchipapas</x:v>
      </x:c>
      <x:c r="C56" s="2" t="str"/>
      <x:c r="D56" s="2" t="n">
        <x:v>1</x:v>
      </x:c>
      <x:c r="E56" s="10" t="n">
        <x:v>12000</x:v>
      </x:c>
      <x:c r="F56" s="10" t="n">
        <x:v>12000</x:v>
      </x:c>
      <x:c r="G56" s="8" t="n">
        <x:f>INDEX('Órdenes'!$B$7:$B$334,MATCH(A56,'Órdenes'!$A$7:$A$334,0))</x:f>
        <x:v>46039</x:v>
      </x:c>
      <x:c r="H56" s="11" t="n">
        <x:f>DATE(YEAR(G56),MONTH(G56),1)</x:f>
        <x:v>46023</x:v>
      </x:c>
    </x:row>
    <x:row r="57" ht="23" customHeight="1">
      <x:c r="A57" s="2" t="str">
        <x:v>SIM-202601-020</x:v>
      </x:c>
      <x:c r="B57" s="2" t="str">
        <x:v>Gaseosas</x:v>
      </x:c>
      <x:c r="C57" s="2" t="str">
        <x:v>Coca-Cola</x:v>
      </x:c>
      <x:c r="D57" s="2" t="n">
        <x:v>2</x:v>
      </x:c>
      <x:c r="E57" s="10" t="n">
        <x:v>5000</x:v>
      </x:c>
      <x:c r="F57" s="10" t="n">
        <x:v>10000</x:v>
      </x:c>
      <x:c r="G57" s="8" t="n">
        <x:f>INDEX('Órdenes'!$B$7:$B$334,MATCH(A57,'Órdenes'!$A$7:$A$334,0))</x:f>
        <x:v>46039</x:v>
      </x:c>
      <x:c r="H57" s="11" t="n">
        <x:f>DATE(YEAR(G57),MONTH(G57),1)</x:f>
        <x:v>46023</x:v>
      </x:c>
    </x:row>
    <x:row r="58" ht="23" customHeight="1">
      <x:c r="A58" s="2" t="str">
        <x:v>SIM-202601-021</x:v>
      </x:c>
      <x:c r="B58" s="2" t="str">
        <x:v>Hamburguesa especial</x:v>
      </x:c>
      <x:c r="C58" s="2" t="str"/>
      <x:c r="D58" s="2" t="n">
        <x:v>2</x:v>
      </x:c>
      <x:c r="E58" s="10" t="n">
        <x:v>20000</x:v>
      </x:c>
      <x:c r="F58" s="10" t="n">
        <x:v>40000</x:v>
      </x:c>
      <x:c r="G58" s="8" t="n">
        <x:f>INDEX('Órdenes'!$B$7:$B$334,MATCH(A58,'Órdenes'!$A$7:$A$334,0))</x:f>
        <x:v>46039</x:v>
      </x:c>
      <x:c r="H58" s="11" t="n">
        <x:f>DATE(YEAR(G58),MONTH(G58),1)</x:f>
        <x:v>46023</x:v>
      </x:c>
    </x:row>
    <x:row r="59" ht="23" customHeight="1">
      <x:c r="A59" s="2" t="str">
        <x:v>SIM-202601-021</x:v>
      </x:c>
      <x:c r="B59" s="2" t="str">
        <x:v>Perro caliente</x:v>
      </x:c>
      <x:c r="C59" s="2" t="str"/>
      <x:c r="D59" s="2" t="n">
        <x:v>1</x:v>
      </x:c>
      <x:c r="E59" s="10" t="n">
        <x:v>13000</x:v>
      </x:c>
      <x:c r="F59" s="10" t="n">
        <x:v>13000</x:v>
      </x:c>
      <x:c r="G59" s="8" t="n">
        <x:f>INDEX('Órdenes'!$B$7:$B$334,MATCH(A59,'Órdenes'!$A$7:$A$334,0))</x:f>
        <x:v>46039</x:v>
      </x:c>
      <x:c r="H59" s="11" t="n">
        <x:f>DATE(YEAR(G59),MONTH(G59),1)</x:f>
        <x:v>46023</x:v>
      </x:c>
    </x:row>
    <x:row r="60" ht="23" customHeight="1">
      <x:c r="A60" s="2" t="str">
        <x:v>SIM-202601-021</x:v>
      </x:c>
      <x:c r="B60" s="2" t="str">
        <x:v>Gaseosas</x:v>
      </x:c>
      <x:c r="C60" s="2" t="str">
        <x:v>Coca-Cola</x:v>
      </x:c>
      <x:c r="D60" s="2" t="n">
        <x:v>3</x:v>
      </x:c>
      <x:c r="E60" s="10" t="n">
        <x:v>5000</x:v>
      </x:c>
      <x:c r="F60" s="10" t="n">
        <x:v>15000</x:v>
      </x:c>
      <x:c r="G60" s="8" t="n">
        <x:f>INDEX('Órdenes'!$B$7:$B$334,MATCH(A60,'Órdenes'!$A$7:$A$334,0))</x:f>
        <x:v>46039</x:v>
      </x:c>
      <x:c r="H60" s="11" t="n">
        <x:f>DATE(YEAR(G60),MONTH(G60),1)</x:f>
        <x:v>46023</x:v>
      </x:c>
    </x:row>
    <x:row r="61" ht="23" customHeight="1">
      <x:c r="A61" s="2" t="str">
        <x:v>SIM-202601-022</x:v>
      </x:c>
      <x:c r="B61" s="2" t="str">
        <x:v>Perro caliente</x:v>
      </x:c>
      <x:c r="C61" s="2" t="str"/>
      <x:c r="D61" s="2" t="n">
        <x:v>1</x:v>
      </x:c>
      <x:c r="E61" s="10" t="n">
        <x:v>13000</x:v>
      </x:c>
      <x:c r="F61" s="10" t="n">
        <x:v>13000</x:v>
      </x:c>
      <x:c r="G61" s="8" t="n">
        <x:f>INDEX('Órdenes'!$B$7:$B$334,MATCH(A61,'Órdenes'!$A$7:$A$334,0))</x:f>
        <x:v>46040</x:v>
      </x:c>
      <x:c r="H61" s="11" t="n">
        <x:f>DATE(YEAR(G61),MONTH(G61),1)</x:f>
        <x:v>46023</x:v>
      </x:c>
    </x:row>
    <x:row r="62" ht="23" customHeight="1">
      <x:c r="A62" s="2" t="str">
        <x:v>SIM-202601-022</x:v>
      </x:c>
      <x:c r="B62" s="2" t="str">
        <x:v>Salchipapas</x:v>
      </x:c>
      <x:c r="C62" s="2" t="str"/>
      <x:c r="D62" s="2" t="n">
        <x:v>1</x:v>
      </x:c>
      <x:c r="E62" s="10" t="n">
        <x:v>12000</x:v>
      </x:c>
      <x:c r="F62" s="10" t="n">
        <x:v>12000</x:v>
      </x:c>
      <x:c r="G62" s="8" t="n">
        <x:f>INDEX('Órdenes'!$B$7:$B$334,MATCH(A62,'Órdenes'!$A$7:$A$334,0))</x:f>
        <x:v>46040</x:v>
      </x:c>
      <x:c r="H62" s="11" t="n">
        <x:f>DATE(YEAR(G62),MONTH(G62),1)</x:f>
        <x:v>46023</x:v>
      </x:c>
    </x:row>
    <x:row r="63" ht="23" customHeight="1">
      <x:c r="A63" s="2" t="str">
        <x:v>SIM-202601-022</x:v>
      </x:c>
      <x:c r="B63" s="2" t="str">
        <x:v>Gaseosas</x:v>
      </x:c>
      <x:c r="C63" s="2" t="str">
        <x:v>Coca-Cola</x:v>
      </x:c>
      <x:c r="D63" s="2" t="n">
        <x:v>1</x:v>
      </x:c>
      <x:c r="E63" s="10" t="n">
        <x:v>5000</x:v>
      </x:c>
      <x:c r="F63" s="10" t="n">
        <x:v>5000</x:v>
      </x:c>
      <x:c r="G63" s="8" t="n">
        <x:f>INDEX('Órdenes'!$B$7:$B$334,MATCH(A63,'Órdenes'!$A$7:$A$334,0))</x:f>
        <x:v>46040</x:v>
      </x:c>
      <x:c r="H63" s="11" t="n">
        <x:f>DATE(YEAR(G63),MONTH(G63),1)</x:f>
        <x:v>46023</x:v>
      </x:c>
    </x:row>
    <x:row r="64" ht="23" customHeight="1">
      <x:c r="A64" s="2" t="str">
        <x:v>SIM-202601-023</x:v>
      </x:c>
      <x:c r="B64" s="2" t="str">
        <x:v>Hamburguesa Clásica</x:v>
      </x:c>
      <x:c r="C64" s="2" t="str"/>
      <x:c r="D64" s="2" t="n">
        <x:v>2</x:v>
      </x:c>
      <x:c r="E64" s="10" t="n">
        <x:v>15000</x:v>
      </x:c>
      <x:c r="F64" s="10" t="n">
        <x:v>30000</x:v>
      </x:c>
      <x:c r="G64" s="8" t="n">
        <x:f>INDEX('Órdenes'!$B$7:$B$334,MATCH(A64,'Órdenes'!$A$7:$A$334,0))</x:f>
        <x:v>46040</x:v>
      </x:c>
      <x:c r="H64" s="11" t="n">
        <x:f>DATE(YEAR(G64),MONTH(G64),1)</x:f>
        <x:v>46023</x:v>
      </x:c>
    </x:row>
    <x:row r="65" ht="23" customHeight="1">
      <x:c r="A65" s="2" t="str">
        <x:v>SIM-202601-023</x:v>
      </x:c>
      <x:c r="B65" s="2" t="str">
        <x:v>Hamburguesa especial</x:v>
      </x:c>
      <x:c r="C65" s="2" t="str"/>
      <x:c r="D65" s="2" t="n">
        <x:v>1</x:v>
      </x:c>
      <x:c r="E65" s="10" t="n">
        <x:v>20000</x:v>
      </x:c>
      <x:c r="F65" s="10" t="n">
        <x:v>20000</x:v>
      </x:c>
      <x:c r="G65" s="8" t="n">
        <x:f>INDEX('Órdenes'!$B$7:$B$334,MATCH(A65,'Órdenes'!$A$7:$A$334,0))</x:f>
        <x:v>46040</x:v>
      </x:c>
      <x:c r="H65" s="11" t="n">
        <x:f>DATE(YEAR(G65),MONTH(G65),1)</x:f>
        <x:v>46023</x:v>
      </x:c>
    </x:row>
    <x:row r="66" ht="23" customHeight="1">
      <x:c r="A66" s="2" t="str">
        <x:v>SIM-202601-023</x:v>
      </x:c>
      <x:c r="B66" s="2" t="str">
        <x:v>Perro caliente</x:v>
      </x:c>
      <x:c r="C66" s="2" t="str"/>
      <x:c r="D66" s="2" t="n">
        <x:v>1</x:v>
      </x:c>
      <x:c r="E66" s="10" t="n">
        <x:v>13000</x:v>
      </x:c>
      <x:c r="F66" s="10" t="n">
        <x:v>13000</x:v>
      </x:c>
      <x:c r="G66" s="8" t="n">
        <x:f>INDEX('Órdenes'!$B$7:$B$334,MATCH(A66,'Órdenes'!$A$7:$A$334,0))</x:f>
        <x:v>46040</x:v>
      </x:c>
      <x:c r="H66" s="11" t="n">
        <x:f>DATE(YEAR(G66),MONTH(G66),1)</x:f>
        <x:v>46023</x:v>
      </x:c>
    </x:row>
    <x:row r="67" ht="23" customHeight="1">
      <x:c r="A67" s="2" t="str">
        <x:v>SIM-202601-023</x:v>
      </x:c>
      <x:c r="B67" s="2" t="str">
        <x:v>Gaseosas</x:v>
      </x:c>
      <x:c r="C67" s="2" t="str">
        <x:v>Coca-Cola</x:v>
      </x:c>
      <x:c r="D67" s="2" t="n">
        <x:v>2</x:v>
      </x:c>
      <x:c r="E67" s="10" t="n">
        <x:v>5000</x:v>
      </x:c>
      <x:c r="F67" s="10" t="n">
        <x:v>10000</x:v>
      </x:c>
      <x:c r="G67" s="8" t="n">
        <x:f>INDEX('Órdenes'!$B$7:$B$334,MATCH(A67,'Órdenes'!$A$7:$A$334,0))</x:f>
        <x:v>46040</x:v>
      </x:c>
      <x:c r="H67" s="11" t="n">
        <x:f>DATE(YEAR(G67),MONTH(G67),1)</x:f>
        <x:v>46023</x:v>
      </x:c>
    </x:row>
    <x:row r="68" ht="23" customHeight="1">
      <x:c r="A68" s="2" t="str">
        <x:v>SIM-202601-023</x:v>
      </x:c>
      <x:c r="B68" s="2" t="str">
        <x:v>Gaseosas</x:v>
      </x:c>
      <x:c r="C68" s="2" t="str">
        <x:v>Sprite</x:v>
      </x:c>
      <x:c r="D68" s="2" t="n">
        <x:v>2</x:v>
      </x:c>
      <x:c r="E68" s="10" t="n">
        <x:v>5000</x:v>
      </x:c>
      <x:c r="F68" s="10" t="n">
        <x:v>10000</x:v>
      </x:c>
      <x:c r="G68" s="8" t="n">
        <x:f>INDEX('Órdenes'!$B$7:$B$334,MATCH(A68,'Órdenes'!$A$7:$A$334,0))</x:f>
        <x:v>46040</x:v>
      </x:c>
      <x:c r="H68" s="11" t="n">
        <x:f>DATE(YEAR(G68),MONTH(G68),1)</x:f>
        <x:v>46023</x:v>
      </x:c>
    </x:row>
    <x:row r="69" ht="23" customHeight="1">
      <x:c r="A69" s="2" t="str">
        <x:v>SIM-202601-024</x:v>
      </x:c>
      <x:c r="B69" s="2" t="str">
        <x:v>Hamburguesa especial</x:v>
      </x:c>
      <x:c r="C69" s="2" t="str"/>
      <x:c r="D69" s="2" t="n">
        <x:v>1</x:v>
      </x:c>
      <x:c r="E69" s="10" t="n">
        <x:v>20000</x:v>
      </x:c>
      <x:c r="F69" s="10" t="n">
        <x:v>20000</x:v>
      </x:c>
      <x:c r="G69" s="8" t="n">
        <x:f>INDEX('Órdenes'!$B$7:$B$334,MATCH(A69,'Órdenes'!$A$7:$A$334,0))</x:f>
        <x:v>46040</x:v>
      </x:c>
      <x:c r="H69" s="11" t="n">
        <x:f>DATE(YEAR(G69),MONTH(G69),1)</x:f>
        <x:v>46023</x:v>
      </x:c>
    </x:row>
    <x:row r="70" ht="23" customHeight="1">
      <x:c r="A70" s="2" t="str">
        <x:v>SIM-202601-024</x:v>
      </x:c>
      <x:c r="B70" s="2" t="str">
        <x:v>Gaseosas</x:v>
      </x:c>
      <x:c r="C70" s="2" t="str">
        <x:v>Coca-Cola</x:v>
      </x:c>
      <x:c r="D70" s="2" t="n">
        <x:v>1</x:v>
      </x:c>
      <x:c r="E70" s="10" t="n">
        <x:v>5000</x:v>
      </x:c>
      <x:c r="F70" s="10" t="n">
        <x:v>5000</x:v>
      </x:c>
      <x:c r="G70" s="8" t="n">
        <x:f>INDEX('Órdenes'!$B$7:$B$334,MATCH(A70,'Órdenes'!$A$7:$A$334,0))</x:f>
        <x:v>46040</x:v>
      </x:c>
      <x:c r="H70" s="11" t="n">
        <x:f>DATE(YEAR(G70),MONTH(G70),1)</x:f>
        <x:v>46023</x:v>
      </x:c>
    </x:row>
    <x:row r="71" ht="23" customHeight="1">
      <x:c r="A71" s="2" t="str">
        <x:v>SIM-202601-025</x:v>
      </x:c>
      <x:c r="B71" s="2" t="str">
        <x:v>Hamburguesa especial</x:v>
      </x:c>
      <x:c r="C71" s="2" t="str"/>
      <x:c r="D71" s="2" t="n">
        <x:v>1</x:v>
      </x:c>
      <x:c r="E71" s="10" t="n">
        <x:v>20000</x:v>
      </x:c>
      <x:c r="F71" s="10" t="n">
        <x:v>20000</x:v>
      </x:c>
      <x:c r="G71" s="8" t="n">
        <x:f>INDEX('Órdenes'!$B$7:$B$334,MATCH(A71,'Órdenes'!$A$7:$A$334,0))</x:f>
        <x:v>46043</x:v>
      </x:c>
      <x:c r="H71" s="11" t="n">
        <x:f>DATE(YEAR(G71),MONTH(G71),1)</x:f>
        <x:v>46023</x:v>
      </x:c>
    </x:row>
    <x:row r="72" ht="23" customHeight="1">
      <x:c r="A72" s="2" t="str">
        <x:v>SIM-202601-025</x:v>
      </x:c>
      <x:c r="B72" s="2" t="str">
        <x:v>Gaseosas</x:v>
      </x:c>
      <x:c r="C72" s="2" t="str">
        <x:v>Coca-Cola</x:v>
      </x:c>
      <x:c r="D72" s="2" t="n">
        <x:v>1</x:v>
      </x:c>
      <x:c r="E72" s="10" t="n">
        <x:v>5000</x:v>
      </x:c>
      <x:c r="F72" s="10" t="n">
        <x:v>5000</x:v>
      </x:c>
      <x:c r="G72" s="8" t="n">
        <x:f>INDEX('Órdenes'!$B$7:$B$334,MATCH(A72,'Órdenes'!$A$7:$A$334,0))</x:f>
        <x:v>46043</x:v>
      </x:c>
      <x:c r="H72" s="11" t="n">
        <x:f>DATE(YEAR(G72),MONTH(G72),1)</x:f>
        <x:v>46023</x:v>
      </x:c>
    </x:row>
    <x:row r="73" ht="23" customHeight="1">
      <x:c r="A73" s="2" t="str">
        <x:v>SIM-202601-026</x:v>
      </x:c>
      <x:c r="B73" s="2" t="str">
        <x:v>Hamburguesa Clásica</x:v>
      </x:c>
      <x:c r="C73" s="2" t="str"/>
      <x:c r="D73" s="2" t="n">
        <x:v>3</x:v>
      </x:c>
      <x:c r="E73" s="10" t="n">
        <x:v>15000</x:v>
      </x:c>
      <x:c r="F73" s="10" t="n">
        <x:v>45000</x:v>
      </x:c>
      <x:c r="G73" s="8" t="n">
        <x:f>INDEX('Órdenes'!$B$7:$B$334,MATCH(A73,'Órdenes'!$A$7:$A$334,0))</x:f>
        <x:v>46044</x:v>
      </x:c>
      <x:c r="H73" s="11" t="n">
        <x:f>DATE(YEAR(G73),MONTH(G73),1)</x:f>
        <x:v>46023</x:v>
      </x:c>
    </x:row>
    <x:row r="74" ht="23" customHeight="1">
      <x:c r="A74" s="2" t="str">
        <x:v>SIM-202601-026</x:v>
      </x:c>
      <x:c r="B74" s="2" t="str">
        <x:v>Gaseosas</x:v>
      </x:c>
      <x:c r="C74" s="2" t="str">
        <x:v>Coca-Cola</x:v>
      </x:c>
      <x:c r="D74" s="2" t="n">
        <x:v>3</x:v>
      </x:c>
      <x:c r="E74" s="10" t="n">
        <x:v>5000</x:v>
      </x:c>
      <x:c r="F74" s="10" t="n">
        <x:v>15000</x:v>
      </x:c>
      <x:c r="G74" s="8" t="n">
        <x:f>INDEX('Órdenes'!$B$7:$B$334,MATCH(A74,'Órdenes'!$A$7:$A$334,0))</x:f>
        <x:v>46044</x:v>
      </x:c>
      <x:c r="H74" s="11" t="n">
        <x:f>DATE(YEAR(G74),MONTH(G74),1)</x:f>
        <x:v>46023</x:v>
      </x:c>
    </x:row>
    <x:row r="75" ht="23" customHeight="1">
      <x:c r="A75" s="2" t="str">
        <x:v>SIM-202601-027</x:v>
      </x:c>
      <x:c r="B75" s="2" t="str">
        <x:v>Salchipapas</x:v>
      </x:c>
      <x:c r="C75" s="2" t="str"/>
      <x:c r="D75" s="2" t="n">
        <x:v>1</x:v>
      </x:c>
      <x:c r="E75" s="10" t="n">
        <x:v>12000</x:v>
      </x:c>
      <x:c r="F75" s="10" t="n">
        <x:v>12000</x:v>
      </x:c>
      <x:c r="G75" s="8" t="n">
        <x:f>INDEX('Órdenes'!$B$7:$B$334,MATCH(A75,'Órdenes'!$A$7:$A$334,0))</x:f>
        <x:v>46044</x:v>
      </x:c>
      <x:c r="H75" s="11" t="n">
        <x:f>DATE(YEAR(G75),MONTH(G75),1)</x:f>
        <x:v>46023</x:v>
      </x:c>
    </x:row>
    <x:row r="76" ht="23" customHeight="1">
      <x:c r="A76" s="2" t="str">
        <x:v>SIM-202601-027</x:v>
      </x:c>
      <x:c r="B76" s="2" t="str">
        <x:v>Gaseosas</x:v>
      </x:c>
      <x:c r="C76" s="2" t="str">
        <x:v>Coca-Cola</x:v>
      </x:c>
      <x:c r="D76" s="2" t="n">
        <x:v>1</x:v>
      </x:c>
      <x:c r="E76" s="10" t="n">
        <x:v>5000</x:v>
      </x:c>
      <x:c r="F76" s="10" t="n">
        <x:v>5000</x:v>
      </x:c>
      <x:c r="G76" s="8" t="n">
        <x:f>INDEX('Órdenes'!$B$7:$B$334,MATCH(A76,'Órdenes'!$A$7:$A$334,0))</x:f>
        <x:v>46044</x:v>
      </x:c>
      <x:c r="H76" s="11" t="n">
        <x:f>DATE(YEAR(G76),MONTH(G76),1)</x:f>
        <x:v>46023</x:v>
      </x:c>
    </x:row>
    <x:row r="77" ht="23" customHeight="1">
      <x:c r="A77" s="2" t="str">
        <x:v>SIM-202601-028</x:v>
      </x:c>
      <x:c r="B77" s="2" t="str">
        <x:v>Hamburguesa Clásica</x:v>
      </x:c>
      <x:c r="C77" s="2" t="str"/>
      <x:c r="D77" s="2" t="n">
        <x:v>1</x:v>
      </x:c>
      <x:c r="E77" s="10" t="n">
        <x:v>15000</x:v>
      </x:c>
      <x:c r="F77" s="10" t="n">
        <x:v>15000</x:v>
      </x:c>
      <x:c r="G77" s="8" t="n">
        <x:f>INDEX('Órdenes'!$B$7:$B$334,MATCH(A77,'Órdenes'!$A$7:$A$334,0))</x:f>
        <x:v>46045</x:v>
      </x:c>
      <x:c r="H77" s="11" t="n">
        <x:f>DATE(YEAR(G77),MONTH(G77),1)</x:f>
        <x:v>46023</x:v>
      </x:c>
    </x:row>
    <x:row r="78" ht="23" customHeight="1">
      <x:c r="A78" s="2" t="str">
        <x:v>SIM-202601-028</x:v>
      </x:c>
      <x:c r="B78" s="2" t="str">
        <x:v>Salchipapas</x:v>
      </x:c>
      <x:c r="C78" s="2" t="str"/>
      <x:c r="D78" s="2" t="n">
        <x:v>1</x:v>
      </x:c>
      <x:c r="E78" s="10" t="n">
        <x:v>12000</x:v>
      </x:c>
      <x:c r="F78" s="10" t="n">
        <x:v>12000</x:v>
      </x:c>
      <x:c r="G78" s="8" t="n">
        <x:f>INDEX('Órdenes'!$B$7:$B$334,MATCH(A78,'Órdenes'!$A$7:$A$334,0))</x:f>
        <x:v>46045</x:v>
      </x:c>
      <x:c r="H78" s="11" t="n">
        <x:f>DATE(YEAR(G78),MONTH(G78),1)</x:f>
        <x:v>46023</x:v>
      </x:c>
    </x:row>
    <x:row r="79" ht="23" customHeight="1">
      <x:c r="A79" s="2" t="str">
        <x:v>SIM-202601-028</x:v>
      </x:c>
      <x:c r="B79" s="2" t="str">
        <x:v>Gaseosas</x:v>
      </x:c>
      <x:c r="C79" s="2" t="str">
        <x:v>Coca-Cola</x:v>
      </x:c>
      <x:c r="D79" s="2" t="n">
        <x:v>1</x:v>
      </x:c>
      <x:c r="E79" s="10" t="n">
        <x:v>5000</x:v>
      </x:c>
      <x:c r="F79" s="10" t="n">
        <x:v>5000</x:v>
      </x:c>
      <x:c r="G79" s="8" t="n">
        <x:f>INDEX('Órdenes'!$B$7:$B$334,MATCH(A79,'Órdenes'!$A$7:$A$334,0))</x:f>
        <x:v>46045</x:v>
      </x:c>
      <x:c r="H79" s="11" t="n">
        <x:f>DATE(YEAR(G79),MONTH(G79),1)</x:f>
        <x:v>46023</x:v>
      </x:c>
    </x:row>
    <x:row r="80" ht="23" customHeight="1">
      <x:c r="A80" s="2" t="str">
        <x:v>SIM-202601-029</x:v>
      </x:c>
      <x:c r="B80" s="2" t="str">
        <x:v>Hamburguesa Clásica</x:v>
      </x:c>
      <x:c r="C80" s="2" t="str"/>
      <x:c r="D80" s="2" t="n">
        <x:v>1</x:v>
      </x:c>
      <x:c r="E80" s="10" t="n">
        <x:v>15000</x:v>
      </x:c>
      <x:c r="F80" s="10" t="n">
        <x:v>15000</x:v>
      </x:c>
      <x:c r="G80" s="8" t="n">
        <x:f>INDEX('Órdenes'!$B$7:$B$334,MATCH(A80,'Órdenes'!$A$7:$A$334,0))</x:f>
        <x:v>46045</x:v>
      </x:c>
      <x:c r="H80" s="11" t="n">
        <x:f>DATE(YEAR(G80),MONTH(G80),1)</x:f>
        <x:v>46023</x:v>
      </x:c>
    </x:row>
    <x:row r="81" ht="23" customHeight="1">
      <x:c r="A81" s="2" t="str">
        <x:v>SIM-202601-029</x:v>
      </x:c>
      <x:c r="B81" s="2" t="str">
        <x:v>Hamburguesa especial</x:v>
      </x:c>
      <x:c r="C81" s="2" t="str"/>
      <x:c r="D81" s="2" t="n">
        <x:v>2</x:v>
      </x:c>
      <x:c r="E81" s="10" t="n">
        <x:v>20000</x:v>
      </x:c>
      <x:c r="F81" s="10" t="n">
        <x:v>40000</x:v>
      </x:c>
      <x:c r="G81" s="8" t="n">
        <x:f>INDEX('Órdenes'!$B$7:$B$334,MATCH(A81,'Órdenes'!$A$7:$A$334,0))</x:f>
        <x:v>46045</x:v>
      </x:c>
      <x:c r="H81" s="11" t="n">
        <x:f>DATE(YEAR(G81),MONTH(G81),1)</x:f>
        <x:v>46023</x:v>
      </x:c>
    </x:row>
    <x:row r="82" ht="23" customHeight="1">
      <x:c r="A82" s="2" t="str">
        <x:v>SIM-202601-029</x:v>
      </x:c>
      <x:c r="B82" s="2" t="str">
        <x:v>Gaseosas</x:v>
      </x:c>
      <x:c r="C82" s="2" t="str">
        <x:v>Coca-Cola</x:v>
      </x:c>
      <x:c r="D82" s="2" t="n">
        <x:v>1</x:v>
      </x:c>
      <x:c r="E82" s="10" t="n">
        <x:v>5000</x:v>
      </x:c>
      <x:c r="F82" s="10" t="n">
        <x:v>5000</x:v>
      </x:c>
      <x:c r="G82" s="8" t="n">
        <x:f>INDEX('Órdenes'!$B$7:$B$334,MATCH(A82,'Órdenes'!$A$7:$A$334,0))</x:f>
        <x:v>46045</x:v>
      </x:c>
      <x:c r="H82" s="11" t="n">
        <x:f>DATE(YEAR(G82),MONTH(G82),1)</x:f>
        <x:v>46023</x:v>
      </x:c>
    </x:row>
    <x:row r="83" ht="23" customHeight="1">
      <x:c r="A83" s="2" t="str">
        <x:v>SIM-202601-029</x:v>
      </x:c>
      <x:c r="B83" s="2" t="str">
        <x:v>Gaseosas</x:v>
      </x:c>
      <x:c r="C83" s="2" t="str">
        <x:v>Sprite</x:v>
      </x:c>
      <x:c r="D83" s="2" t="n">
        <x:v>1</x:v>
      </x:c>
      <x:c r="E83" s="10" t="n">
        <x:v>5000</x:v>
      </x:c>
      <x:c r="F83" s="10" t="n">
        <x:v>5000</x:v>
      </x:c>
      <x:c r="G83" s="8" t="n">
        <x:f>INDEX('Órdenes'!$B$7:$B$334,MATCH(A83,'Órdenes'!$A$7:$A$334,0))</x:f>
        <x:v>46045</x:v>
      </x:c>
      <x:c r="H83" s="11" t="n">
        <x:f>DATE(YEAR(G83),MONTH(G83),1)</x:f>
        <x:v>46023</x:v>
      </x:c>
    </x:row>
    <x:row r="84" ht="23" customHeight="1">
      <x:c r="A84" s="2" t="str">
        <x:v>SIM-202601-030</x:v>
      </x:c>
      <x:c r="B84" s="2" t="str">
        <x:v>Hamburguesa especial</x:v>
      </x:c>
      <x:c r="C84" s="2" t="str"/>
      <x:c r="D84" s="2" t="n">
        <x:v>2</x:v>
      </x:c>
      <x:c r="E84" s="10" t="n">
        <x:v>20000</x:v>
      </x:c>
      <x:c r="F84" s="10" t="n">
        <x:v>40000</x:v>
      </x:c>
      <x:c r="G84" s="8" t="n">
        <x:f>INDEX('Órdenes'!$B$7:$B$334,MATCH(A84,'Órdenes'!$A$7:$A$334,0))</x:f>
        <x:v>46046</x:v>
      </x:c>
      <x:c r="H84" s="11" t="n">
        <x:f>DATE(YEAR(G84),MONTH(G84),1)</x:f>
        <x:v>46023</x:v>
      </x:c>
    </x:row>
    <x:row r="85" ht="23" customHeight="1">
      <x:c r="A85" s="2" t="str">
        <x:v>SIM-202601-030</x:v>
      </x:c>
      <x:c r="B85" s="2" t="str">
        <x:v>Perro caliente</x:v>
      </x:c>
      <x:c r="C85" s="2" t="str"/>
      <x:c r="D85" s="2" t="n">
        <x:v>1</x:v>
      </x:c>
      <x:c r="E85" s="10" t="n">
        <x:v>13000</x:v>
      </x:c>
      <x:c r="F85" s="10" t="n">
        <x:v>13000</x:v>
      </x:c>
      <x:c r="G85" s="8" t="n">
        <x:f>INDEX('Órdenes'!$B$7:$B$334,MATCH(A85,'Órdenes'!$A$7:$A$334,0))</x:f>
        <x:v>46046</x:v>
      </x:c>
      <x:c r="H85" s="11" t="n">
        <x:f>DATE(YEAR(G85),MONTH(G85),1)</x:f>
        <x:v>46023</x:v>
      </x:c>
    </x:row>
    <x:row r="86" ht="23" customHeight="1">
      <x:c r="A86" s="2" t="str">
        <x:v>SIM-202601-030</x:v>
      </x:c>
      <x:c r="B86" s="2" t="str">
        <x:v>Gaseosas</x:v>
      </x:c>
      <x:c r="C86" s="2" t="str">
        <x:v>Coca-Cola</x:v>
      </x:c>
      <x:c r="D86" s="2" t="n">
        <x:v>2</x:v>
      </x:c>
      <x:c r="E86" s="10" t="n">
        <x:v>5000</x:v>
      </x:c>
      <x:c r="F86" s="10" t="n">
        <x:v>10000</x:v>
      </x:c>
      <x:c r="G86" s="8" t="n">
        <x:f>INDEX('Órdenes'!$B$7:$B$334,MATCH(A86,'Órdenes'!$A$7:$A$334,0))</x:f>
        <x:v>46046</x:v>
      </x:c>
      <x:c r="H86" s="11" t="n">
        <x:f>DATE(YEAR(G86),MONTH(G86),1)</x:f>
        <x:v>46023</x:v>
      </x:c>
    </x:row>
    <x:row r="87" ht="23" customHeight="1">
      <x:c r="A87" s="2" t="str">
        <x:v>SIM-202601-030</x:v>
      </x:c>
      <x:c r="B87" s="2" t="str">
        <x:v>Gaseosas</x:v>
      </x:c>
      <x:c r="C87" s="2" t="str">
        <x:v>Sprite</x:v>
      </x:c>
      <x:c r="D87" s="2" t="n">
        <x:v>1</x:v>
      </x:c>
      <x:c r="E87" s="10" t="n">
        <x:v>5000</x:v>
      </x:c>
      <x:c r="F87" s="10" t="n">
        <x:v>5000</x:v>
      </x:c>
      <x:c r="G87" s="8" t="n">
        <x:f>INDEX('Órdenes'!$B$7:$B$334,MATCH(A87,'Órdenes'!$A$7:$A$334,0))</x:f>
        <x:v>46046</x:v>
      </x:c>
      <x:c r="H87" s="11" t="n">
        <x:f>DATE(YEAR(G87),MONTH(G87),1)</x:f>
        <x:v>46023</x:v>
      </x:c>
    </x:row>
    <x:row r="88" ht="23" customHeight="1">
      <x:c r="A88" s="2" t="str">
        <x:v>SIM-202601-031</x:v>
      </x:c>
      <x:c r="B88" s="2" t="str">
        <x:v>Hamburguesa Clásica</x:v>
      </x:c>
      <x:c r="C88" s="2" t="str"/>
      <x:c r="D88" s="2" t="n">
        <x:v>1</x:v>
      </x:c>
      <x:c r="E88" s="10" t="n">
        <x:v>15000</x:v>
      </x:c>
      <x:c r="F88" s="10" t="n">
        <x:v>15000</x:v>
      </x:c>
      <x:c r="G88" s="8" t="n">
        <x:f>INDEX('Órdenes'!$B$7:$B$334,MATCH(A88,'Órdenes'!$A$7:$A$334,0))</x:f>
        <x:v>46047</x:v>
      </x:c>
      <x:c r="H88" s="11" t="n">
        <x:f>DATE(YEAR(G88),MONTH(G88),1)</x:f>
        <x:v>46023</x:v>
      </x:c>
    </x:row>
    <x:row r="89" ht="23" customHeight="1">
      <x:c r="A89" s="2" t="str">
        <x:v>SIM-202601-031</x:v>
      </x:c>
      <x:c r="B89" s="2" t="str">
        <x:v>Gaseosas</x:v>
      </x:c>
      <x:c r="C89" s="2" t="str">
        <x:v>Sprite</x:v>
      </x:c>
      <x:c r="D89" s="2" t="n">
        <x:v>1</x:v>
      </x:c>
      <x:c r="E89" s="10" t="n">
        <x:v>5000</x:v>
      </x:c>
      <x:c r="F89" s="10" t="n">
        <x:v>5000</x:v>
      </x:c>
      <x:c r="G89" s="8" t="n">
        <x:f>INDEX('Órdenes'!$B$7:$B$334,MATCH(A89,'Órdenes'!$A$7:$A$334,0))</x:f>
        <x:v>46047</x:v>
      </x:c>
      <x:c r="H89" s="11" t="n">
        <x:f>DATE(YEAR(G89),MONTH(G89),1)</x:f>
        <x:v>46023</x:v>
      </x:c>
    </x:row>
    <x:row r="90" ht="23" customHeight="1">
      <x:c r="A90" s="2" t="str">
        <x:v>SIM-202601-032</x:v>
      </x:c>
      <x:c r="B90" s="2" t="str">
        <x:v>Hamburguesa Clásica</x:v>
      </x:c>
      <x:c r="C90" s="2" t="str"/>
      <x:c r="D90" s="2" t="n">
        <x:v>1</x:v>
      </x:c>
      <x:c r="E90" s="10" t="n">
        <x:v>15000</x:v>
      </x:c>
      <x:c r="F90" s="10" t="n">
        <x:v>15000</x:v>
      </x:c>
      <x:c r="G90" s="8" t="n">
        <x:f>INDEX('Órdenes'!$B$7:$B$334,MATCH(A90,'Órdenes'!$A$7:$A$334,0))</x:f>
        <x:v>46047</x:v>
      </x:c>
      <x:c r="H90" s="11" t="n">
        <x:f>DATE(YEAR(G90),MONTH(G90),1)</x:f>
        <x:v>46023</x:v>
      </x:c>
    </x:row>
    <x:row r="91" ht="23" customHeight="1">
      <x:c r="A91" s="2" t="str">
        <x:v>SIM-202601-032</x:v>
      </x:c>
      <x:c r="B91" s="2" t="str">
        <x:v>Hamburguesa especial</x:v>
      </x:c>
      <x:c r="C91" s="2" t="str"/>
      <x:c r="D91" s="2" t="n">
        <x:v>1</x:v>
      </x:c>
      <x:c r="E91" s="10" t="n">
        <x:v>20000</x:v>
      </x:c>
      <x:c r="F91" s="10" t="n">
        <x:v>20000</x:v>
      </x:c>
      <x:c r="G91" s="8" t="n">
        <x:f>INDEX('Órdenes'!$B$7:$B$334,MATCH(A91,'Órdenes'!$A$7:$A$334,0))</x:f>
        <x:v>46047</x:v>
      </x:c>
      <x:c r="H91" s="11" t="n">
        <x:f>DATE(YEAR(G91),MONTH(G91),1)</x:f>
        <x:v>46023</x:v>
      </x:c>
    </x:row>
    <x:row r="92" ht="23" customHeight="1">
      <x:c r="A92" s="2" t="str">
        <x:v>SIM-202601-032</x:v>
      </x:c>
      <x:c r="B92" s="2" t="str">
        <x:v>Gaseosas</x:v>
      </x:c>
      <x:c r="C92" s="2" t="str">
        <x:v>Coca-Cola</x:v>
      </x:c>
      <x:c r="D92" s="2" t="n">
        <x:v>1</x:v>
      </x:c>
      <x:c r="E92" s="10" t="n">
        <x:v>5000</x:v>
      </x:c>
      <x:c r="F92" s="10" t="n">
        <x:v>5000</x:v>
      </x:c>
      <x:c r="G92" s="8" t="n">
        <x:f>INDEX('Órdenes'!$B$7:$B$334,MATCH(A92,'Órdenes'!$A$7:$A$334,0))</x:f>
        <x:v>46047</x:v>
      </x:c>
      <x:c r="H92" s="11" t="n">
        <x:f>DATE(YEAR(G92),MONTH(G92),1)</x:f>
        <x:v>46023</x:v>
      </x:c>
    </x:row>
    <x:row r="93" ht="23" customHeight="1">
      <x:c r="A93" s="2" t="str">
        <x:v>SIM-202601-033</x:v>
      </x:c>
      <x:c r="B93" s="2" t="str">
        <x:v>Hamburguesa Clásica</x:v>
      </x:c>
      <x:c r="C93" s="2" t="str"/>
      <x:c r="D93" s="2" t="n">
        <x:v>1</x:v>
      </x:c>
      <x:c r="E93" s="10" t="n">
        <x:v>15000</x:v>
      </x:c>
      <x:c r="F93" s="10" t="n">
        <x:v>15000</x:v>
      </x:c>
      <x:c r="G93" s="8" t="n">
        <x:f>INDEX('Órdenes'!$B$7:$B$334,MATCH(A93,'Órdenes'!$A$7:$A$334,0))</x:f>
        <x:v>46050</x:v>
      </x:c>
      <x:c r="H93" s="11" t="n">
        <x:f>DATE(YEAR(G93),MONTH(G93),1)</x:f>
        <x:v>46023</x:v>
      </x:c>
    </x:row>
    <x:row r="94" ht="23" customHeight="1">
      <x:c r="A94" s="2" t="str">
        <x:v>SIM-202601-033</x:v>
      </x:c>
      <x:c r="B94" s="2" t="str">
        <x:v>Gaseosas</x:v>
      </x:c>
      <x:c r="C94" s="2" t="str">
        <x:v>Coca-Cola</x:v>
      </x:c>
      <x:c r="D94" s="2" t="n">
        <x:v>1</x:v>
      </x:c>
      <x:c r="E94" s="10" t="n">
        <x:v>5000</x:v>
      </x:c>
      <x:c r="F94" s="10" t="n">
        <x:v>5000</x:v>
      </x:c>
      <x:c r="G94" s="8" t="n">
        <x:f>INDEX('Órdenes'!$B$7:$B$334,MATCH(A94,'Órdenes'!$A$7:$A$334,0))</x:f>
        <x:v>46050</x:v>
      </x:c>
      <x:c r="H94" s="11" t="n">
        <x:f>DATE(YEAR(G94),MONTH(G94),1)</x:f>
        <x:v>46023</x:v>
      </x:c>
    </x:row>
    <x:row r="95" ht="23" customHeight="1">
      <x:c r="A95" s="2" t="str">
        <x:v>SIM-202601-034</x:v>
      </x:c>
      <x:c r="B95" s="2" t="str">
        <x:v>Hamburguesa Clásica</x:v>
      </x:c>
      <x:c r="C95" s="2" t="str"/>
      <x:c r="D95" s="2" t="n">
        <x:v>1</x:v>
      </x:c>
      <x:c r="E95" s="10" t="n">
        <x:v>15000</x:v>
      </x:c>
      <x:c r="F95" s="10" t="n">
        <x:v>15000</x:v>
      </x:c>
      <x:c r="G95" s="8" t="n">
        <x:f>INDEX('Órdenes'!$B$7:$B$334,MATCH(A95,'Órdenes'!$A$7:$A$334,0))</x:f>
        <x:v>46052</x:v>
      </x:c>
      <x:c r="H95" s="11" t="n">
        <x:f>DATE(YEAR(G95),MONTH(G95),1)</x:f>
        <x:v>46023</x:v>
      </x:c>
    </x:row>
    <x:row r="96" ht="23" customHeight="1">
      <x:c r="A96" s="2" t="str">
        <x:v>SIM-202601-034</x:v>
      </x:c>
      <x:c r="B96" s="2" t="str">
        <x:v>Gaseosas</x:v>
      </x:c>
      <x:c r="C96" s="2" t="str">
        <x:v>Coca-Cola</x:v>
      </x:c>
      <x:c r="D96" s="2" t="n">
        <x:v>1</x:v>
      </x:c>
      <x:c r="E96" s="10" t="n">
        <x:v>5000</x:v>
      </x:c>
      <x:c r="F96" s="10" t="n">
        <x:v>5000</x:v>
      </x:c>
      <x:c r="G96" s="8" t="n">
        <x:f>INDEX('Órdenes'!$B$7:$B$334,MATCH(A96,'Órdenes'!$A$7:$A$334,0))</x:f>
        <x:v>46052</x:v>
      </x:c>
      <x:c r="H96" s="11" t="n">
        <x:f>DATE(YEAR(G96),MONTH(G96),1)</x:f>
        <x:v>46023</x:v>
      </x:c>
    </x:row>
    <x:row r="97" ht="23" customHeight="1">
      <x:c r="A97" s="2" t="str">
        <x:v>SIM-202601-035</x:v>
      </x:c>
      <x:c r="B97" s="2" t="str">
        <x:v>Hamburguesa especial</x:v>
      </x:c>
      <x:c r="C97" s="2" t="str"/>
      <x:c r="D97" s="2" t="n">
        <x:v>1</x:v>
      </x:c>
      <x:c r="E97" s="10" t="n">
        <x:v>20000</x:v>
      </x:c>
      <x:c r="F97" s="10" t="n">
        <x:v>20000</x:v>
      </x:c>
      <x:c r="G97" s="8" t="n">
        <x:f>INDEX('Órdenes'!$B$7:$B$334,MATCH(A97,'Órdenes'!$A$7:$A$334,0))</x:f>
        <x:v>46052</x:v>
      </x:c>
      <x:c r="H97" s="11" t="n">
        <x:f>DATE(YEAR(G97),MONTH(G97),1)</x:f>
        <x:v>46023</x:v>
      </x:c>
    </x:row>
    <x:row r="98" ht="23" customHeight="1">
      <x:c r="A98" s="2" t="str">
        <x:v>SIM-202601-036</x:v>
      </x:c>
      <x:c r="B98" s="2" t="str">
        <x:v>Hamburguesa especial</x:v>
      </x:c>
      <x:c r="C98" s="2" t="str"/>
      <x:c r="D98" s="2" t="n">
        <x:v>2</x:v>
      </x:c>
      <x:c r="E98" s="10" t="n">
        <x:v>20000</x:v>
      </x:c>
      <x:c r="F98" s="10" t="n">
        <x:v>40000</x:v>
      </x:c>
      <x:c r="G98" s="8" t="n">
        <x:f>INDEX('Órdenes'!$B$7:$B$334,MATCH(A98,'Órdenes'!$A$7:$A$334,0))</x:f>
        <x:v>46052</x:v>
      </x:c>
      <x:c r="H98" s="11" t="n">
        <x:f>DATE(YEAR(G98),MONTH(G98),1)</x:f>
        <x:v>46023</x:v>
      </x:c>
    </x:row>
    <x:row r="99" ht="23" customHeight="1">
      <x:c r="A99" s="2" t="str">
        <x:v>SIM-202601-036</x:v>
      </x:c>
      <x:c r="B99" s="2" t="str">
        <x:v>Gaseosas</x:v>
      </x:c>
      <x:c r="C99" s="2" t="str">
        <x:v>Coca-Cola</x:v>
      </x:c>
      <x:c r="D99" s="2" t="n">
        <x:v>1</x:v>
      </x:c>
      <x:c r="E99" s="10" t="n">
        <x:v>5000</x:v>
      </x:c>
      <x:c r="F99" s="10" t="n">
        <x:v>5000</x:v>
      </x:c>
      <x:c r="G99" s="8" t="n">
        <x:f>INDEX('Órdenes'!$B$7:$B$334,MATCH(A99,'Órdenes'!$A$7:$A$334,0))</x:f>
        <x:v>46052</x:v>
      </x:c>
      <x:c r="H99" s="11" t="n">
        <x:f>DATE(YEAR(G99),MONTH(G99),1)</x:f>
        <x:v>46023</x:v>
      </x:c>
    </x:row>
    <x:row r="100" ht="23" customHeight="1">
      <x:c r="A100" s="2" t="str">
        <x:v>SIM-202602-001</x:v>
      </x:c>
      <x:c r="B100" s="2" t="str">
        <x:v>Perro caliente</x:v>
      </x:c>
      <x:c r="C100" s="2" t="str"/>
      <x:c r="D100" s="2" t="n">
        <x:v>1</x:v>
      </x:c>
      <x:c r="E100" s="10" t="n">
        <x:v>13000</x:v>
      </x:c>
      <x:c r="F100" s="10" t="n">
        <x:v>13000</x:v>
      </x:c>
      <x:c r="G100" s="8" t="n">
        <x:f>INDEX('Órdenes'!$B$7:$B$334,MATCH(A100,'Órdenes'!$A$7:$A$334,0))</x:f>
        <x:v>46054</x:v>
      </x:c>
      <x:c r="H100" s="11" t="n">
        <x:f>DATE(YEAR(G100),MONTH(G100),1)</x:f>
        <x:v>46054</x:v>
      </x:c>
    </x:row>
    <x:row r="101" ht="23" customHeight="1">
      <x:c r="A101" s="2" t="str">
        <x:v>SIM-202602-001</x:v>
      </x:c>
      <x:c r="B101" s="2" t="str">
        <x:v>Gaseosas</x:v>
      </x:c>
      <x:c r="C101" s="2" t="str">
        <x:v>Coca-Cola</x:v>
      </x:c>
      <x:c r="D101" s="2" t="n">
        <x:v>1</x:v>
      </x:c>
      <x:c r="E101" s="10" t="n">
        <x:v>5000</x:v>
      </x:c>
      <x:c r="F101" s="10" t="n">
        <x:v>5000</x:v>
      </x:c>
      <x:c r="G101" s="8" t="n">
        <x:f>INDEX('Órdenes'!$B$7:$B$334,MATCH(A101,'Órdenes'!$A$7:$A$334,0))</x:f>
        <x:v>46054</x:v>
      </x:c>
      <x:c r="H101" s="11" t="n">
        <x:f>DATE(YEAR(G101),MONTH(G101),1)</x:f>
        <x:v>46054</x:v>
      </x:c>
    </x:row>
    <x:row r="102" ht="23" customHeight="1">
      <x:c r="A102" s="2" t="str">
        <x:v>SIM-202602-002</x:v>
      </x:c>
      <x:c r="B102" s="2" t="str">
        <x:v>Salchipapas</x:v>
      </x:c>
      <x:c r="C102" s="2" t="str"/>
      <x:c r="D102" s="2" t="n">
        <x:v>1</x:v>
      </x:c>
      <x:c r="E102" s="10" t="n">
        <x:v>12000</x:v>
      </x:c>
      <x:c r="F102" s="10" t="n">
        <x:v>12000</x:v>
      </x:c>
      <x:c r="G102" s="8" t="n">
        <x:f>INDEX('Órdenes'!$B$7:$B$334,MATCH(A102,'Órdenes'!$A$7:$A$334,0))</x:f>
        <x:v>46054</x:v>
      </x:c>
      <x:c r="H102" s="11" t="n">
        <x:f>DATE(YEAR(G102),MONTH(G102),1)</x:f>
        <x:v>46054</x:v>
      </x:c>
    </x:row>
    <x:row r="103" ht="23" customHeight="1">
      <x:c r="A103" s="2" t="str">
        <x:v>SIM-202602-002</x:v>
      </x:c>
      <x:c r="B103" s="2" t="str">
        <x:v>Gaseosas</x:v>
      </x:c>
      <x:c r="C103" s="2" t="str">
        <x:v>Manzana</x:v>
      </x:c>
      <x:c r="D103" s="2" t="n">
        <x:v>1</x:v>
      </x:c>
      <x:c r="E103" s="10" t="n">
        <x:v>5000</x:v>
      </x:c>
      <x:c r="F103" s="10" t="n">
        <x:v>5000</x:v>
      </x:c>
      <x:c r="G103" s="8" t="n">
        <x:f>INDEX('Órdenes'!$B$7:$B$334,MATCH(A103,'Órdenes'!$A$7:$A$334,0))</x:f>
        <x:v>46054</x:v>
      </x:c>
      <x:c r="H103" s="11" t="n">
        <x:f>DATE(YEAR(G103),MONTH(G103),1)</x:f>
        <x:v>46054</x:v>
      </x:c>
    </x:row>
    <x:row r="104" ht="23" customHeight="1">
      <x:c r="A104" s="2" t="str">
        <x:v>SIM-202602-003</x:v>
      </x:c>
      <x:c r="B104" s="2" t="str">
        <x:v>Hamburguesa especial</x:v>
      </x:c>
      <x:c r="C104" s="2" t="str"/>
      <x:c r="D104" s="2" t="n">
        <x:v>1</x:v>
      </x:c>
      <x:c r="E104" s="10" t="n">
        <x:v>20000</x:v>
      </x:c>
      <x:c r="F104" s="10" t="n">
        <x:v>20000</x:v>
      </x:c>
      <x:c r="G104" s="8" t="n">
        <x:f>INDEX('Órdenes'!$B$7:$B$334,MATCH(A104,'Órdenes'!$A$7:$A$334,0))</x:f>
        <x:v>46059</x:v>
      </x:c>
      <x:c r="H104" s="11" t="n">
        <x:f>DATE(YEAR(G104),MONTH(G104),1)</x:f>
        <x:v>46054</x:v>
      </x:c>
    </x:row>
    <x:row r="105" ht="23" customHeight="1">
      <x:c r="A105" s="2" t="str">
        <x:v>SIM-202602-003</x:v>
      </x:c>
      <x:c r="B105" s="2" t="str">
        <x:v>Perro caliente</x:v>
      </x:c>
      <x:c r="C105" s="2" t="str"/>
      <x:c r="D105" s="2" t="n">
        <x:v>1</x:v>
      </x:c>
      <x:c r="E105" s="10" t="n">
        <x:v>13000</x:v>
      </x:c>
      <x:c r="F105" s="10" t="n">
        <x:v>13000</x:v>
      </x:c>
      <x:c r="G105" s="8" t="n">
        <x:f>INDEX('Órdenes'!$B$7:$B$334,MATCH(A105,'Órdenes'!$A$7:$A$334,0))</x:f>
        <x:v>46059</x:v>
      </x:c>
      <x:c r="H105" s="11" t="n">
        <x:f>DATE(YEAR(G105),MONTH(G105),1)</x:f>
        <x:v>46054</x:v>
      </x:c>
    </x:row>
    <x:row r="106" ht="23" customHeight="1">
      <x:c r="A106" s="2" t="str">
        <x:v>SIM-202602-003</x:v>
      </x:c>
      <x:c r="B106" s="2" t="str">
        <x:v>Salchipapas</x:v>
      </x:c>
      <x:c r="C106" s="2" t="str"/>
      <x:c r="D106" s="2" t="n">
        <x:v>1</x:v>
      </x:c>
      <x:c r="E106" s="10" t="n">
        <x:v>12000</x:v>
      </x:c>
      <x:c r="F106" s="10" t="n">
        <x:v>12000</x:v>
      </x:c>
      <x:c r="G106" s="8" t="n">
        <x:f>INDEX('Órdenes'!$B$7:$B$334,MATCH(A106,'Órdenes'!$A$7:$A$334,0))</x:f>
        <x:v>46059</x:v>
      </x:c>
      <x:c r="H106" s="11" t="n">
        <x:f>DATE(YEAR(G106),MONTH(G106),1)</x:f>
        <x:v>46054</x:v>
      </x:c>
    </x:row>
    <x:row r="107" ht="23" customHeight="1">
      <x:c r="A107" s="2" t="str">
        <x:v>SIM-202602-003</x:v>
      </x:c>
      <x:c r="B107" s="2" t="str">
        <x:v>Gaseosas</x:v>
      </x:c>
      <x:c r="C107" s="2" t="str">
        <x:v>Manzana</x:v>
      </x:c>
      <x:c r="D107" s="2" t="n">
        <x:v>1</x:v>
      </x:c>
      <x:c r="E107" s="10" t="n">
        <x:v>5000</x:v>
      </x:c>
      <x:c r="F107" s="10" t="n">
        <x:v>5000</x:v>
      </x:c>
      <x:c r="G107" s="8" t="n">
        <x:f>INDEX('Órdenes'!$B$7:$B$334,MATCH(A107,'Órdenes'!$A$7:$A$334,0))</x:f>
        <x:v>46059</x:v>
      </x:c>
      <x:c r="H107" s="11" t="n">
        <x:f>DATE(YEAR(G107),MONTH(G107),1)</x:f>
        <x:v>46054</x:v>
      </x:c>
    </x:row>
    <x:row r="108" ht="23" customHeight="1">
      <x:c r="A108" s="2" t="str">
        <x:v>SIM-202602-003</x:v>
      </x:c>
      <x:c r="B108" s="2" t="str">
        <x:v>Gaseosas</x:v>
      </x:c>
      <x:c r="C108" s="2" t="str">
        <x:v>Sprite</x:v>
      </x:c>
      <x:c r="D108" s="2" t="n">
        <x:v>1</x:v>
      </x:c>
      <x:c r="E108" s="10" t="n">
        <x:v>5000</x:v>
      </x:c>
      <x:c r="F108" s="10" t="n">
        <x:v>5000</x:v>
      </x:c>
      <x:c r="G108" s="8" t="n">
        <x:f>INDEX('Órdenes'!$B$7:$B$334,MATCH(A108,'Órdenes'!$A$7:$A$334,0))</x:f>
        <x:v>46059</x:v>
      </x:c>
      <x:c r="H108" s="11" t="n">
        <x:f>DATE(YEAR(G108),MONTH(G108),1)</x:f>
        <x:v>46054</x:v>
      </x:c>
    </x:row>
    <x:row r="109" ht="23" customHeight="1">
      <x:c r="A109" s="2" t="str">
        <x:v>SIM-202602-004</x:v>
      </x:c>
      <x:c r="B109" s="2" t="str">
        <x:v>Hamburguesa Clásica</x:v>
      </x:c>
      <x:c r="C109" s="2" t="str"/>
      <x:c r="D109" s="2" t="n">
        <x:v>2</x:v>
      </x:c>
      <x:c r="E109" s="10" t="n">
        <x:v>15000</x:v>
      </x:c>
      <x:c r="F109" s="10" t="n">
        <x:v>30000</x:v>
      </x:c>
      <x:c r="G109" s="8" t="n">
        <x:f>INDEX('Órdenes'!$B$7:$B$334,MATCH(A109,'Órdenes'!$A$7:$A$334,0))</x:f>
        <x:v>46059</x:v>
      </x:c>
      <x:c r="H109" s="11" t="n">
        <x:f>DATE(YEAR(G109),MONTH(G109),1)</x:f>
        <x:v>46054</x:v>
      </x:c>
    </x:row>
    <x:row r="110" ht="23" customHeight="1">
      <x:c r="A110" s="2" t="str">
        <x:v>SIM-202602-004</x:v>
      </x:c>
      <x:c r="B110" s="2" t="str">
        <x:v>Gaseosas</x:v>
      </x:c>
      <x:c r="C110" s="2" t="str">
        <x:v>Sprite</x:v>
      </x:c>
      <x:c r="D110" s="2" t="n">
        <x:v>1</x:v>
      </x:c>
      <x:c r="E110" s="10" t="n">
        <x:v>5000</x:v>
      </x:c>
      <x:c r="F110" s="10" t="n">
        <x:v>5000</x:v>
      </x:c>
      <x:c r="G110" s="8" t="n">
        <x:f>INDEX('Órdenes'!$B$7:$B$334,MATCH(A110,'Órdenes'!$A$7:$A$334,0))</x:f>
        <x:v>46059</x:v>
      </x:c>
      <x:c r="H110" s="11" t="n">
        <x:f>DATE(YEAR(G110),MONTH(G110),1)</x:f>
        <x:v>46054</x:v>
      </x:c>
    </x:row>
    <x:row r="111" ht="23" customHeight="1">
      <x:c r="A111" s="2" t="str">
        <x:v>SIM-202602-005</x:v>
      </x:c>
      <x:c r="B111" s="2" t="str">
        <x:v>Hamburguesa Clásica</x:v>
      </x:c>
      <x:c r="C111" s="2" t="str"/>
      <x:c r="D111" s="2" t="n">
        <x:v>1</x:v>
      </x:c>
      <x:c r="E111" s="10" t="n">
        <x:v>15000</x:v>
      </x:c>
      <x:c r="F111" s="10" t="n">
        <x:v>15000</x:v>
      </x:c>
      <x:c r="G111" s="8" t="n">
        <x:f>INDEX('Órdenes'!$B$7:$B$334,MATCH(A111,'Órdenes'!$A$7:$A$334,0))</x:f>
        <x:v>46060</x:v>
      </x:c>
      <x:c r="H111" s="11" t="n">
        <x:f>DATE(YEAR(G111),MONTH(G111),1)</x:f>
        <x:v>46054</x:v>
      </x:c>
    </x:row>
    <x:row r="112" ht="23" customHeight="1">
      <x:c r="A112" s="2" t="str">
        <x:v>SIM-202602-005</x:v>
      </x:c>
      <x:c r="B112" s="2" t="str">
        <x:v>Hamburguesa especial</x:v>
      </x:c>
      <x:c r="C112" s="2" t="str"/>
      <x:c r="D112" s="2" t="n">
        <x:v>2</x:v>
      </x:c>
      <x:c r="E112" s="10" t="n">
        <x:v>20000</x:v>
      </x:c>
      <x:c r="F112" s="10" t="n">
        <x:v>40000</x:v>
      </x:c>
      <x:c r="G112" s="8" t="n">
        <x:f>INDEX('Órdenes'!$B$7:$B$334,MATCH(A112,'Órdenes'!$A$7:$A$334,0))</x:f>
        <x:v>46060</x:v>
      </x:c>
      <x:c r="H112" s="11" t="n">
        <x:f>DATE(YEAR(G112),MONTH(G112),1)</x:f>
        <x:v>46054</x:v>
      </x:c>
    </x:row>
    <x:row r="113" ht="23" customHeight="1">
      <x:c r="A113" s="2" t="str">
        <x:v>SIM-202602-005</x:v>
      </x:c>
      <x:c r="B113" s="2" t="str">
        <x:v>Salchipapas</x:v>
      </x:c>
      <x:c r="C113" s="2" t="str"/>
      <x:c r="D113" s="2" t="n">
        <x:v>1</x:v>
      </x:c>
      <x:c r="E113" s="10" t="n">
        <x:v>12000</x:v>
      </x:c>
      <x:c r="F113" s="10" t="n">
        <x:v>12000</x:v>
      </x:c>
      <x:c r="G113" s="8" t="n">
        <x:f>INDEX('Órdenes'!$B$7:$B$334,MATCH(A113,'Órdenes'!$A$7:$A$334,0))</x:f>
        <x:v>46060</x:v>
      </x:c>
      <x:c r="H113" s="11" t="n">
        <x:f>DATE(YEAR(G113),MONTH(G113),1)</x:f>
        <x:v>46054</x:v>
      </x:c>
    </x:row>
    <x:row r="114" ht="23" customHeight="1">
      <x:c r="A114" s="2" t="str">
        <x:v>SIM-202602-005</x:v>
      </x:c>
      <x:c r="B114" s="2" t="str">
        <x:v>Gaseosas</x:v>
      </x:c>
      <x:c r="C114" s="2" t="str">
        <x:v>Coca-Cola</x:v>
      </x:c>
      <x:c r="D114" s="2" t="n">
        <x:v>2</x:v>
      </x:c>
      <x:c r="E114" s="10" t="n">
        <x:v>5000</x:v>
      </x:c>
      <x:c r="F114" s="10" t="n">
        <x:v>10000</x:v>
      </x:c>
      <x:c r="G114" s="8" t="n">
        <x:f>INDEX('Órdenes'!$B$7:$B$334,MATCH(A114,'Órdenes'!$A$7:$A$334,0))</x:f>
        <x:v>46060</x:v>
      </x:c>
      <x:c r="H114" s="11" t="n">
        <x:f>DATE(YEAR(G114),MONTH(G114),1)</x:f>
        <x:v>46054</x:v>
      </x:c>
    </x:row>
    <x:row r="115" ht="23" customHeight="1">
      <x:c r="A115" s="2" t="str">
        <x:v>SIM-202602-006</x:v>
      </x:c>
      <x:c r="B115" s="2" t="str">
        <x:v>Perro caliente</x:v>
      </x:c>
      <x:c r="C115" s="2" t="str"/>
      <x:c r="D115" s="2" t="n">
        <x:v>1</x:v>
      </x:c>
      <x:c r="E115" s="10" t="n">
        <x:v>13000</x:v>
      </x:c>
      <x:c r="F115" s="10" t="n">
        <x:v>13000</x:v>
      </x:c>
      <x:c r="G115" s="8" t="n">
        <x:f>INDEX('Órdenes'!$B$7:$B$334,MATCH(A115,'Órdenes'!$A$7:$A$334,0))</x:f>
        <x:v>46060</x:v>
      </x:c>
      <x:c r="H115" s="11" t="n">
        <x:f>DATE(YEAR(G115),MONTH(G115),1)</x:f>
        <x:v>46054</x:v>
      </x:c>
    </x:row>
    <x:row r="116" ht="23" customHeight="1">
      <x:c r="A116" s="2" t="str">
        <x:v>SIM-202602-006</x:v>
      </x:c>
      <x:c r="B116" s="2" t="str">
        <x:v>Salchipapas</x:v>
      </x:c>
      <x:c r="C116" s="2" t="str"/>
      <x:c r="D116" s="2" t="n">
        <x:v>1</x:v>
      </x:c>
      <x:c r="E116" s="10" t="n">
        <x:v>12000</x:v>
      </x:c>
      <x:c r="F116" s="10" t="n">
        <x:v>12000</x:v>
      </x:c>
      <x:c r="G116" s="8" t="n">
        <x:f>INDEX('Órdenes'!$B$7:$B$334,MATCH(A116,'Órdenes'!$A$7:$A$334,0))</x:f>
        <x:v>46060</x:v>
      </x:c>
      <x:c r="H116" s="11" t="n">
        <x:f>DATE(YEAR(G116),MONTH(G116),1)</x:f>
        <x:v>46054</x:v>
      </x:c>
    </x:row>
    <x:row r="117" ht="23" customHeight="1">
      <x:c r="A117" s="2" t="str">
        <x:v>SIM-202602-006</x:v>
      </x:c>
      <x:c r="B117" s="2" t="str">
        <x:v>Gaseosas</x:v>
      </x:c>
      <x:c r="C117" s="2" t="str">
        <x:v>Coca-Cola</x:v>
      </x:c>
      <x:c r="D117" s="2" t="n">
        <x:v>1</x:v>
      </x:c>
      <x:c r="E117" s="10" t="n">
        <x:v>5000</x:v>
      </x:c>
      <x:c r="F117" s="10" t="n">
        <x:v>5000</x:v>
      </x:c>
      <x:c r="G117" s="8" t="n">
        <x:f>INDEX('Órdenes'!$B$7:$B$334,MATCH(A117,'Órdenes'!$A$7:$A$334,0))</x:f>
        <x:v>46060</x:v>
      </x:c>
      <x:c r="H117" s="11" t="n">
        <x:f>DATE(YEAR(G117),MONTH(G117),1)</x:f>
        <x:v>46054</x:v>
      </x:c>
    </x:row>
    <x:row r="118" ht="23" customHeight="1">
      <x:c r="A118" s="2" t="str">
        <x:v>SIM-202602-006</x:v>
      </x:c>
      <x:c r="B118" s="2" t="str">
        <x:v>Gaseosas</x:v>
      </x:c>
      <x:c r="C118" s="2" t="str">
        <x:v>Manzana</x:v>
      </x:c>
      <x:c r="D118" s="2" t="n">
        <x:v>1</x:v>
      </x:c>
      <x:c r="E118" s="10" t="n">
        <x:v>5000</x:v>
      </x:c>
      <x:c r="F118" s="10" t="n">
        <x:v>5000</x:v>
      </x:c>
      <x:c r="G118" s="8" t="n">
        <x:f>INDEX('Órdenes'!$B$7:$B$334,MATCH(A118,'Órdenes'!$A$7:$A$334,0))</x:f>
        <x:v>46060</x:v>
      </x:c>
      <x:c r="H118" s="11" t="n">
        <x:f>DATE(YEAR(G118),MONTH(G118),1)</x:f>
        <x:v>46054</x:v>
      </x:c>
    </x:row>
    <x:row r="119" ht="23" customHeight="1">
      <x:c r="A119" s="2" t="str">
        <x:v>SIM-202602-007</x:v>
      </x:c>
      <x:c r="B119" s="2" t="str">
        <x:v>Hamburguesa Clásica</x:v>
      </x:c>
      <x:c r="C119" s="2" t="str"/>
      <x:c r="D119" s="2" t="n">
        <x:v>1</x:v>
      </x:c>
      <x:c r="E119" s="10" t="n">
        <x:v>15000</x:v>
      </x:c>
      <x:c r="F119" s="10" t="n">
        <x:v>15000</x:v>
      </x:c>
      <x:c r="G119" s="8" t="n">
        <x:f>INDEX('Órdenes'!$B$7:$B$334,MATCH(A119,'Órdenes'!$A$7:$A$334,0))</x:f>
        <x:v>46060</x:v>
      </x:c>
      <x:c r="H119" s="11" t="n">
        <x:f>DATE(YEAR(G119),MONTH(G119),1)</x:f>
        <x:v>46054</x:v>
      </x:c>
    </x:row>
    <x:row r="120" ht="23" customHeight="1">
      <x:c r="A120" s="2" t="str">
        <x:v>SIM-202602-007</x:v>
      </x:c>
      <x:c r="B120" s="2" t="str">
        <x:v>Perro caliente</x:v>
      </x:c>
      <x:c r="C120" s="2" t="str"/>
      <x:c r="D120" s="2" t="n">
        <x:v>1</x:v>
      </x:c>
      <x:c r="E120" s="10" t="n">
        <x:v>13000</x:v>
      </x:c>
      <x:c r="F120" s="10" t="n">
        <x:v>13000</x:v>
      </x:c>
      <x:c r="G120" s="8" t="n">
        <x:f>INDEX('Órdenes'!$B$7:$B$334,MATCH(A120,'Órdenes'!$A$7:$A$334,0))</x:f>
        <x:v>46060</x:v>
      </x:c>
      <x:c r="H120" s="11" t="n">
        <x:f>DATE(YEAR(G120),MONTH(G120),1)</x:f>
        <x:v>46054</x:v>
      </x:c>
    </x:row>
    <x:row r="121" ht="23" customHeight="1">
      <x:c r="A121" s="2" t="str">
        <x:v>SIM-202602-007</x:v>
      </x:c>
      <x:c r="B121" s="2" t="str">
        <x:v>Gaseosas</x:v>
      </x:c>
      <x:c r="C121" s="2" t="str">
        <x:v>Coca-Cola</x:v>
      </x:c>
      <x:c r="D121" s="2" t="n">
        <x:v>1</x:v>
      </x:c>
      <x:c r="E121" s="10" t="n">
        <x:v>5000</x:v>
      </x:c>
      <x:c r="F121" s="10" t="n">
        <x:v>5000</x:v>
      </x:c>
      <x:c r="G121" s="8" t="n">
        <x:f>INDEX('Órdenes'!$B$7:$B$334,MATCH(A121,'Órdenes'!$A$7:$A$334,0))</x:f>
        <x:v>46060</x:v>
      </x:c>
      <x:c r="H121" s="11" t="n">
        <x:f>DATE(YEAR(G121),MONTH(G121),1)</x:f>
        <x:v>46054</x:v>
      </x:c>
    </x:row>
    <x:row r="122" ht="23" customHeight="1">
      <x:c r="A122" s="2" t="str">
        <x:v>SIM-202602-007</x:v>
      </x:c>
      <x:c r="B122" s="2" t="str">
        <x:v>Gaseosas</x:v>
      </x:c>
      <x:c r="C122" s="2" t="str">
        <x:v>Sprite</x:v>
      </x:c>
      <x:c r="D122" s="2" t="n">
        <x:v>1</x:v>
      </x:c>
      <x:c r="E122" s="10" t="n">
        <x:v>5000</x:v>
      </x:c>
      <x:c r="F122" s="10" t="n">
        <x:v>5000</x:v>
      </x:c>
      <x:c r="G122" s="8" t="n">
        <x:f>INDEX('Órdenes'!$B$7:$B$334,MATCH(A122,'Órdenes'!$A$7:$A$334,0))</x:f>
        <x:v>46060</x:v>
      </x:c>
      <x:c r="H122" s="11" t="n">
        <x:f>DATE(YEAR(G122),MONTH(G122),1)</x:f>
        <x:v>46054</x:v>
      </x:c>
    </x:row>
    <x:row r="123" ht="23" customHeight="1">
      <x:c r="A123" s="2" t="str">
        <x:v>SIM-202602-008</x:v>
      </x:c>
      <x:c r="B123" s="2" t="str">
        <x:v>Hamburguesa Clásica</x:v>
      </x:c>
      <x:c r="C123" s="2" t="str"/>
      <x:c r="D123" s="2" t="n">
        <x:v>2</x:v>
      </x:c>
      <x:c r="E123" s="10" t="n">
        <x:v>15000</x:v>
      </x:c>
      <x:c r="F123" s="10" t="n">
        <x:v>30000</x:v>
      </x:c>
      <x:c r="G123" s="8" t="n">
        <x:f>INDEX('Órdenes'!$B$7:$B$334,MATCH(A123,'Órdenes'!$A$7:$A$334,0))</x:f>
        <x:v>46061</x:v>
      </x:c>
      <x:c r="H123" s="11" t="n">
        <x:f>DATE(YEAR(G123),MONTH(G123),1)</x:f>
        <x:v>46054</x:v>
      </x:c>
    </x:row>
    <x:row r="124" ht="23" customHeight="1">
      <x:c r="A124" s="2" t="str">
        <x:v>SIM-202602-008</x:v>
      </x:c>
      <x:c r="B124" s="2" t="str">
        <x:v>Hamburguesa especial</x:v>
      </x:c>
      <x:c r="C124" s="2" t="str"/>
      <x:c r="D124" s="2" t="n">
        <x:v>1</x:v>
      </x:c>
      <x:c r="E124" s="10" t="n">
        <x:v>20000</x:v>
      </x:c>
      <x:c r="F124" s="10" t="n">
        <x:v>20000</x:v>
      </x:c>
      <x:c r="G124" s="8" t="n">
        <x:f>INDEX('Órdenes'!$B$7:$B$334,MATCH(A124,'Órdenes'!$A$7:$A$334,0))</x:f>
        <x:v>46061</x:v>
      </x:c>
      <x:c r="H124" s="11" t="n">
        <x:f>DATE(YEAR(G124),MONTH(G124),1)</x:f>
        <x:v>46054</x:v>
      </x:c>
    </x:row>
    <x:row r="125" ht="23" customHeight="1">
      <x:c r="A125" s="2" t="str">
        <x:v>SIM-202602-008</x:v>
      </x:c>
      <x:c r="B125" s="2" t="str">
        <x:v>Salchipapas</x:v>
      </x:c>
      <x:c r="C125" s="2" t="str"/>
      <x:c r="D125" s="2" t="n">
        <x:v>1</x:v>
      </x:c>
      <x:c r="E125" s="10" t="n">
        <x:v>12000</x:v>
      </x:c>
      <x:c r="F125" s="10" t="n">
        <x:v>12000</x:v>
      </x:c>
      <x:c r="G125" s="8" t="n">
        <x:f>INDEX('Órdenes'!$B$7:$B$334,MATCH(A125,'Órdenes'!$A$7:$A$334,0))</x:f>
        <x:v>46061</x:v>
      </x:c>
      <x:c r="H125" s="11" t="n">
        <x:f>DATE(YEAR(G125),MONTH(G125),1)</x:f>
        <x:v>46054</x:v>
      </x:c>
    </x:row>
    <x:row r="126" ht="23" customHeight="1">
      <x:c r="A126" s="2" t="str">
        <x:v>SIM-202602-008</x:v>
      </x:c>
      <x:c r="B126" s="2" t="str">
        <x:v>Gaseosas</x:v>
      </x:c>
      <x:c r="C126" s="2" t="str">
        <x:v>Coca-Cola</x:v>
      </x:c>
      <x:c r="D126" s="2" t="n">
        <x:v>2</x:v>
      </x:c>
      <x:c r="E126" s="10" t="n">
        <x:v>5000</x:v>
      </x:c>
      <x:c r="F126" s="10" t="n">
        <x:v>10000</x:v>
      </x:c>
      <x:c r="G126" s="8" t="n">
        <x:f>INDEX('Órdenes'!$B$7:$B$334,MATCH(A126,'Órdenes'!$A$7:$A$334,0))</x:f>
        <x:v>46061</x:v>
      </x:c>
      <x:c r="H126" s="11" t="n">
        <x:f>DATE(YEAR(G126),MONTH(G126),1)</x:f>
        <x:v>46054</x:v>
      </x:c>
    </x:row>
    <x:row r="127" ht="23" customHeight="1">
      <x:c r="A127" s="2" t="str">
        <x:v>SIM-202602-008</x:v>
      </x:c>
      <x:c r="B127" s="2" t="str">
        <x:v>Gaseosas</x:v>
      </x:c>
      <x:c r="C127" s="2" t="str">
        <x:v>Sprite</x:v>
      </x:c>
      <x:c r="D127" s="2" t="n">
        <x:v>1</x:v>
      </x:c>
      <x:c r="E127" s="10" t="n">
        <x:v>5000</x:v>
      </x:c>
      <x:c r="F127" s="10" t="n">
        <x:v>5000</x:v>
      </x:c>
      <x:c r="G127" s="8" t="n">
        <x:f>INDEX('Órdenes'!$B$7:$B$334,MATCH(A127,'Órdenes'!$A$7:$A$334,0))</x:f>
        <x:v>46061</x:v>
      </x:c>
      <x:c r="H127" s="11" t="n">
        <x:f>DATE(YEAR(G127),MONTH(G127),1)</x:f>
        <x:v>46054</x:v>
      </x:c>
    </x:row>
    <x:row r="128" ht="23" customHeight="1">
      <x:c r="A128" s="2" t="str">
        <x:v>SIM-202602-009</x:v>
      </x:c>
      <x:c r="B128" s="2" t="str">
        <x:v>Salchipapas</x:v>
      </x:c>
      <x:c r="C128" s="2" t="str"/>
      <x:c r="D128" s="2" t="n">
        <x:v>2</x:v>
      </x:c>
      <x:c r="E128" s="10" t="n">
        <x:v>12000</x:v>
      </x:c>
      <x:c r="F128" s="10" t="n">
        <x:v>24000</x:v>
      </x:c>
      <x:c r="G128" s="8" t="n">
        <x:f>INDEX('Órdenes'!$B$7:$B$334,MATCH(A128,'Órdenes'!$A$7:$A$334,0))</x:f>
        <x:v>46064</x:v>
      </x:c>
      <x:c r="H128" s="11" t="n">
        <x:f>DATE(YEAR(G128),MONTH(G128),1)</x:f>
        <x:v>46054</x:v>
      </x:c>
    </x:row>
    <x:row r="129" ht="23" customHeight="1">
      <x:c r="A129" s="2" t="str">
        <x:v>SIM-202602-009</x:v>
      </x:c>
      <x:c r="B129" s="2" t="str">
        <x:v>Gaseosas</x:v>
      </x:c>
      <x:c r="C129" s="2" t="str">
        <x:v>Coca-Cola</x:v>
      </x:c>
      <x:c r="D129" s="2" t="n">
        <x:v>1</x:v>
      </x:c>
      <x:c r="E129" s="10" t="n">
        <x:v>5000</x:v>
      </x:c>
      <x:c r="F129" s="10" t="n">
        <x:v>5000</x:v>
      </x:c>
      <x:c r="G129" s="8" t="n">
        <x:f>INDEX('Órdenes'!$B$7:$B$334,MATCH(A129,'Órdenes'!$A$7:$A$334,0))</x:f>
        <x:v>46064</x:v>
      </x:c>
      <x:c r="H129" s="11" t="n">
        <x:f>DATE(YEAR(G129),MONTH(G129),1)</x:f>
        <x:v>46054</x:v>
      </x:c>
    </x:row>
    <x:row r="130" ht="23" customHeight="1">
      <x:c r="A130" s="2" t="str">
        <x:v>SIM-202602-009</x:v>
      </x:c>
      <x:c r="B130" s="2" t="str">
        <x:v>Gaseosas</x:v>
      </x:c>
      <x:c r="C130" s="2" t="str">
        <x:v>Manzana</x:v>
      </x:c>
      <x:c r="D130" s="2" t="n">
        <x:v>1</x:v>
      </x:c>
      <x:c r="E130" s="10" t="n">
        <x:v>5000</x:v>
      </x:c>
      <x:c r="F130" s="10" t="n">
        <x:v>5000</x:v>
      </x:c>
      <x:c r="G130" s="8" t="n">
        <x:f>INDEX('Órdenes'!$B$7:$B$334,MATCH(A130,'Órdenes'!$A$7:$A$334,0))</x:f>
        <x:v>46064</x:v>
      </x:c>
      <x:c r="H130" s="11" t="n">
        <x:f>DATE(YEAR(G130),MONTH(G130),1)</x:f>
        <x:v>46054</x:v>
      </x:c>
    </x:row>
    <x:row r="131" ht="23" customHeight="1">
      <x:c r="A131" s="2" t="str">
        <x:v>SIM-202602-010</x:v>
      </x:c>
      <x:c r="B131" s="2" t="str">
        <x:v>Hamburguesa Clásica</x:v>
      </x:c>
      <x:c r="C131" s="2" t="str"/>
      <x:c r="D131" s="2" t="n">
        <x:v>1</x:v>
      </x:c>
      <x:c r="E131" s="10" t="n">
        <x:v>15000</x:v>
      </x:c>
      <x:c r="F131" s="10" t="n">
        <x:v>15000</x:v>
      </x:c>
      <x:c r="G131" s="8" t="n">
        <x:f>INDEX('Órdenes'!$B$7:$B$334,MATCH(A131,'Órdenes'!$A$7:$A$334,0))</x:f>
        <x:v>46065</x:v>
      </x:c>
      <x:c r="H131" s="11" t="n">
        <x:f>DATE(YEAR(G131),MONTH(G131),1)</x:f>
        <x:v>46054</x:v>
      </x:c>
    </x:row>
    <x:row r="132" ht="23" customHeight="1">
      <x:c r="A132" s="2" t="str">
        <x:v>SIM-202602-010</x:v>
      </x:c>
      <x:c r="B132" s="2" t="str">
        <x:v>Gaseosas</x:v>
      </x:c>
      <x:c r="C132" s="2" t="str">
        <x:v>Coca-Cola</x:v>
      </x:c>
      <x:c r="D132" s="2" t="n">
        <x:v>1</x:v>
      </x:c>
      <x:c r="E132" s="10" t="n">
        <x:v>5000</x:v>
      </x:c>
      <x:c r="F132" s="10" t="n">
        <x:v>5000</x:v>
      </x:c>
      <x:c r="G132" s="8" t="n">
        <x:f>INDEX('Órdenes'!$B$7:$B$334,MATCH(A132,'Órdenes'!$A$7:$A$334,0))</x:f>
        <x:v>46065</x:v>
      </x:c>
      <x:c r="H132" s="11" t="n">
        <x:f>DATE(YEAR(G132),MONTH(G132),1)</x:f>
        <x:v>46054</x:v>
      </x:c>
    </x:row>
    <x:row r="133" ht="23" customHeight="1">
      <x:c r="A133" s="2" t="str">
        <x:v>SIM-202602-011</x:v>
      </x:c>
      <x:c r="B133" s="2" t="str">
        <x:v>Hamburguesa especial</x:v>
      </x:c>
      <x:c r="C133" s="2" t="str"/>
      <x:c r="D133" s="2" t="n">
        <x:v>1</x:v>
      </x:c>
      <x:c r="E133" s="10" t="n">
        <x:v>20000</x:v>
      </x:c>
      <x:c r="F133" s="10" t="n">
        <x:v>20000</x:v>
      </x:c>
      <x:c r="G133" s="8" t="n">
        <x:f>INDEX('Órdenes'!$B$7:$B$334,MATCH(A133,'Órdenes'!$A$7:$A$334,0))</x:f>
        <x:v>46065</x:v>
      </x:c>
      <x:c r="H133" s="11" t="n">
        <x:f>DATE(YEAR(G133),MONTH(G133),1)</x:f>
        <x:v>46054</x:v>
      </x:c>
    </x:row>
    <x:row r="134" ht="23" customHeight="1">
      <x:c r="A134" s="2" t="str">
        <x:v>SIM-202602-011</x:v>
      </x:c>
      <x:c r="B134" s="2" t="str">
        <x:v>Perro caliente</x:v>
      </x:c>
      <x:c r="C134" s="2" t="str"/>
      <x:c r="D134" s="2" t="n">
        <x:v>1</x:v>
      </x:c>
      <x:c r="E134" s="10" t="n">
        <x:v>13000</x:v>
      </x:c>
      <x:c r="F134" s="10" t="n">
        <x:v>13000</x:v>
      </x:c>
      <x:c r="G134" s="8" t="n">
        <x:f>INDEX('Órdenes'!$B$7:$B$334,MATCH(A134,'Órdenes'!$A$7:$A$334,0))</x:f>
        <x:v>46065</x:v>
      </x:c>
      <x:c r="H134" s="11" t="n">
        <x:f>DATE(YEAR(G134),MONTH(G134),1)</x:f>
        <x:v>46054</x:v>
      </x:c>
    </x:row>
    <x:row r="135" ht="23" customHeight="1">
      <x:c r="A135" s="2" t="str">
        <x:v>SIM-202602-011</x:v>
      </x:c>
      <x:c r="B135" s="2" t="str">
        <x:v>Gaseosas</x:v>
      </x:c>
      <x:c r="C135" s="2" t="str">
        <x:v>Coca-Cola</x:v>
      </x:c>
      <x:c r="D135" s="2" t="n">
        <x:v>1</x:v>
      </x:c>
      <x:c r="E135" s="10" t="n">
        <x:v>5000</x:v>
      </x:c>
      <x:c r="F135" s="10" t="n">
        <x:v>5000</x:v>
      </x:c>
      <x:c r="G135" s="8" t="n">
        <x:f>INDEX('Órdenes'!$B$7:$B$334,MATCH(A135,'Órdenes'!$A$7:$A$334,0))</x:f>
        <x:v>46065</x:v>
      </x:c>
      <x:c r="H135" s="11" t="n">
        <x:f>DATE(YEAR(G135),MONTH(G135),1)</x:f>
        <x:v>46054</x:v>
      </x:c>
    </x:row>
    <x:row r="136" ht="23" customHeight="1">
      <x:c r="A136" s="2" t="str">
        <x:v>SIM-202602-011</x:v>
      </x:c>
      <x:c r="B136" s="2" t="str">
        <x:v>Gaseosas</x:v>
      </x:c>
      <x:c r="C136" s="2" t="str">
        <x:v>Manzana</x:v>
      </x:c>
      <x:c r="D136" s="2" t="n">
        <x:v>1</x:v>
      </x:c>
      <x:c r="E136" s="10" t="n">
        <x:v>5000</x:v>
      </x:c>
      <x:c r="F136" s="10" t="n">
        <x:v>5000</x:v>
      </x:c>
      <x:c r="G136" s="8" t="n">
        <x:f>INDEX('Órdenes'!$B$7:$B$334,MATCH(A136,'Órdenes'!$A$7:$A$334,0))</x:f>
        <x:v>46065</x:v>
      </x:c>
      <x:c r="H136" s="11" t="n">
        <x:f>DATE(YEAR(G136),MONTH(G136),1)</x:f>
        <x:v>46054</x:v>
      </x:c>
    </x:row>
    <x:row r="137" ht="23" customHeight="1">
      <x:c r="A137" s="2" t="str">
        <x:v>SIM-202602-012</x:v>
      </x:c>
      <x:c r="B137" s="2" t="str">
        <x:v>Hamburguesa Clásica</x:v>
      </x:c>
      <x:c r="C137" s="2" t="str"/>
      <x:c r="D137" s="2" t="n">
        <x:v>1</x:v>
      </x:c>
      <x:c r="E137" s="10" t="n">
        <x:v>15000</x:v>
      </x:c>
      <x:c r="F137" s="10" t="n">
        <x:v>15000</x:v>
      </x:c>
      <x:c r="G137" s="8" t="n">
        <x:f>INDEX('Órdenes'!$B$7:$B$334,MATCH(A137,'Órdenes'!$A$7:$A$334,0))</x:f>
        <x:v>46066</x:v>
      </x:c>
      <x:c r="H137" s="11" t="n">
        <x:f>DATE(YEAR(G137),MONTH(G137),1)</x:f>
        <x:v>46054</x:v>
      </x:c>
    </x:row>
    <x:row r="138" ht="23" customHeight="1">
      <x:c r="A138" s="2" t="str">
        <x:v>SIM-202602-012</x:v>
      </x:c>
      <x:c r="B138" s="2" t="str">
        <x:v>Hamburguesa especial</x:v>
      </x:c>
      <x:c r="C138" s="2" t="str"/>
      <x:c r="D138" s="2" t="n">
        <x:v>1</x:v>
      </x:c>
      <x:c r="E138" s="10" t="n">
        <x:v>20000</x:v>
      </x:c>
      <x:c r="F138" s="10" t="n">
        <x:v>20000</x:v>
      </x:c>
      <x:c r="G138" s="8" t="n">
        <x:f>INDEX('Órdenes'!$B$7:$B$334,MATCH(A138,'Órdenes'!$A$7:$A$334,0))</x:f>
        <x:v>46066</x:v>
      </x:c>
      <x:c r="H138" s="11" t="n">
        <x:f>DATE(YEAR(G138),MONTH(G138),1)</x:f>
        <x:v>46054</x:v>
      </x:c>
    </x:row>
    <x:row r="139" ht="23" customHeight="1">
      <x:c r="A139" s="2" t="str">
        <x:v>SIM-202602-012</x:v>
      </x:c>
      <x:c r="B139" s="2" t="str">
        <x:v>Gaseosas</x:v>
      </x:c>
      <x:c r="C139" s="2" t="str">
        <x:v>Manzana</x:v>
      </x:c>
      <x:c r="D139" s="2" t="n">
        <x:v>1</x:v>
      </x:c>
      <x:c r="E139" s="10" t="n">
        <x:v>5000</x:v>
      </x:c>
      <x:c r="F139" s="10" t="n">
        <x:v>5000</x:v>
      </x:c>
      <x:c r="G139" s="8" t="n">
        <x:f>INDEX('Órdenes'!$B$7:$B$334,MATCH(A139,'Órdenes'!$A$7:$A$334,0))</x:f>
        <x:v>46066</x:v>
      </x:c>
      <x:c r="H139" s="11" t="n">
        <x:f>DATE(YEAR(G139),MONTH(G139),1)</x:f>
        <x:v>46054</x:v>
      </x:c>
    </x:row>
    <x:row r="140" ht="23" customHeight="1">
      <x:c r="A140" s="2" t="str">
        <x:v>SIM-202602-013</x:v>
      </x:c>
      <x:c r="B140" s="2" t="str">
        <x:v>Hamburguesa Clásica</x:v>
      </x:c>
      <x:c r="C140" s="2" t="str"/>
      <x:c r="D140" s="2" t="n">
        <x:v>1</x:v>
      </x:c>
      <x:c r="E140" s="10" t="n">
        <x:v>15000</x:v>
      </x:c>
      <x:c r="F140" s="10" t="n">
        <x:v>15000</x:v>
      </x:c>
      <x:c r="G140" s="8" t="n">
        <x:f>INDEX('Órdenes'!$B$7:$B$334,MATCH(A140,'Órdenes'!$A$7:$A$334,0))</x:f>
        <x:v>46067</x:v>
      </x:c>
      <x:c r="H140" s="11" t="n">
        <x:f>DATE(YEAR(G140),MONTH(G140),1)</x:f>
        <x:v>46054</x:v>
      </x:c>
    </x:row>
    <x:row r="141" ht="23" customHeight="1">
      <x:c r="A141" s="2" t="str">
        <x:v>SIM-202602-013</x:v>
      </x:c>
      <x:c r="B141" s="2" t="str">
        <x:v>Salchipapas</x:v>
      </x:c>
      <x:c r="C141" s="2" t="str"/>
      <x:c r="D141" s="2" t="n">
        <x:v>1</x:v>
      </x:c>
      <x:c r="E141" s="10" t="n">
        <x:v>12000</x:v>
      </x:c>
      <x:c r="F141" s="10" t="n">
        <x:v>12000</x:v>
      </x:c>
      <x:c r="G141" s="8" t="n">
        <x:f>INDEX('Órdenes'!$B$7:$B$334,MATCH(A141,'Órdenes'!$A$7:$A$334,0))</x:f>
        <x:v>46067</x:v>
      </x:c>
      <x:c r="H141" s="11" t="n">
        <x:f>DATE(YEAR(G141),MONTH(G141),1)</x:f>
        <x:v>46054</x:v>
      </x:c>
    </x:row>
    <x:row r="142" ht="23" customHeight="1">
      <x:c r="A142" s="2" t="str">
        <x:v>SIM-202602-013</x:v>
      </x:c>
      <x:c r="B142" s="2" t="str">
        <x:v>Gaseosas</x:v>
      </x:c>
      <x:c r="C142" s="2" t="str">
        <x:v>Coca-Cola</x:v>
      </x:c>
      <x:c r="D142" s="2" t="n">
        <x:v>2</x:v>
      </x:c>
      <x:c r="E142" s="10" t="n">
        <x:v>5000</x:v>
      </x:c>
      <x:c r="F142" s="10" t="n">
        <x:v>10000</x:v>
      </x:c>
      <x:c r="G142" s="8" t="n">
        <x:f>INDEX('Órdenes'!$B$7:$B$334,MATCH(A142,'Órdenes'!$A$7:$A$334,0))</x:f>
        <x:v>46067</x:v>
      </x:c>
      <x:c r="H142" s="11" t="n">
        <x:f>DATE(YEAR(G142),MONTH(G142),1)</x:f>
        <x:v>46054</x:v>
      </x:c>
    </x:row>
    <x:row r="143" ht="23" customHeight="1">
      <x:c r="A143" s="2" t="str">
        <x:v>SIM-202602-014</x:v>
      </x:c>
      <x:c r="B143" s="2" t="str">
        <x:v>Hamburguesa Clásica</x:v>
      </x:c>
      <x:c r="C143" s="2" t="str"/>
      <x:c r="D143" s="2" t="n">
        <x:v>3</x:v>
      </x:c>
      <x:c r="E143" s="10" t="n">
        <x:v>15000</x:v>
      </x:c>
      <x:c r="F143" s="10" t="n">
        <x:v>45000</x:v>
      </x:c>
      <x:c r="G143" s="8" t="n">
        <x:f>INDEX('Órdenes'!$B$7:$B$334,MATCH(A143,'Órdenes'!$A$7:$A$334,0))</x:f>
        <x:v>46067</x:v>
      </x:c>
      <x:c r="H143" s="11" t="n">
        <x:f>DATE(YEAR(G143),MONTH(G143),1)</x:f>
        <x:v>46054</x:v>
      </x:c>
    </x:row>
    <x:row r="144" ht="23" customHeight="1">
      <x:c r="A144" s="2" t="str">
        <x:v>SIM-202602-014</x:v>
      </x:c>
      <x:c r="B144" s="2" t="str">
        <x:v>Gaseosas</x:v>
      </x:c>
      <x:c r="C144" s="2" t="str">
        <x:v>Coca-Cola</x:v>
      </x:c>
      <x:c r="D144" s="2" t="n">
        <x:v>2</x:v>
      </x:c>
      <x:c r="E144" s="10" t="n">
        <x:v>5000</x:v>
      </x:c>
      <x:c r="F144" s="10" t="n">
        <x:v>10000</x:v>
      </x:c>
      <x:c r="G144" s="8" t="n">
        <x:f>INDEX('Órdenes'!$B$7:$B$334,MATCH(A144,'Órdenes'!$A$7:$A$334,0))</x:f>
        <x:v>46067</x:v>
      </x:c>
      <x:c r="H144" s="11" t="n">
        <x:f>DATE(YEAR(G144),MONTH(G144),1)</x:f>
        <x:v>46054</x:v>
      </x:c>
    </x:row>
    <x:row r="145" ht="23" customHeight="1">
      <x:c r="A145" s="2" t="str">
        <x:v>SIM-202602-015</x:v>
      </x:c>
      <x:c r="B145" s="2" t="str">
        <x:v>Hamburguesa Clásica</x:v>
      </x:c>
      <x:c r="C145" s="2" t="str"/>
      <x:c r="D145" s="2" t="n">
        <x:v>1</x:v>
      </x:c>
      <x:c r="E145" s="10" t="n">
        <x:v>15000</x:v>
      </x:c>
      <x:c r="F145" s="10" t="n">
        <x:v>15000</x:v>
      </x:c>
      <x:c r="G145" s="8" t="n">
        <x:f>INDEX('Órdenes'!$B$7:$B$334,MATCH(A145,'Órdenes'!$A$7:$A$334,0))</x:f>
        <x:v>46068</x:v>
      </x:c>
      <x:c r="H145" s="11" t="n">
        <x:f>DATE(YEAR(G145),MONTH(G145),1)</x:f>
        <x:v>46054</x:v>
      </x:c>
    </x:row>
    <x:row r="146" ht="23" customHeight="1">
      <x:c r="A146" s="2" t="str">
        <x:v>SIM-202602-015</x:v>
      </x:c>
      <x:c r="B146" s="2" t="str">
        <x:v>Perro caliente</x:v>
      </x:c>
      <x:c r="C146" s="2" t="str"/>
      <x:c r="D146" s="2" t="n">
        <x:v>2</x:v>
      </x:c>
      <x:c r="E146" s="10" t="n">
        <x:v>13000</x:v>
      </x:c>
      <x:c r="F146" s="10" t="n">
        <x:v>26000</x:v>
      </x:c>
      <x:c r="G146" s="8" t="n">
        <x:f>INDEX('Órdenes'!$B$7:$B$334,MATCH(A146,'Órdenes'!$A$7:$A$334,0))</x:f>
        <x:v>46068</x:v>
      </x:c>
      <x:c r="H146" s="11" t="n">
        <x:f>DATE(YEAR(G146),MONTH(G146),1)</x:f>
        <x:v>46054</x:v>
      </x:c>
    </x:row>
    <x:row r="147" ht="23" customHeight="1">
      <x:c r="A147" s="2" t="str">
        <x:v>SIM-202602-015</x:v>
      </x:c>
      <x:c r="B147" s="2" t="str">
        <x:v>Gaseosas</x:v>
      </x:c>
      <x:c r="C147" s="2" t="str">
        <x:v>Coca-Cola</x:v>
      </x:c>
      <x:c r="D147" s="2" t="n">
        <x:v>1</x:v>
      </x:c>
      <x:c r="E147" s="10" t="n">
        <x:v>5000</x:v>
      </x:c>
      <x:c r="F147" s="10" t="n">
        <x:v>5000</x:v>
      </x:c>
      <x:c r="G147" s="8" t="n">
        <x:f>INDEX('Órdenes'!$B$7:$B$334,MATCH(A147,'Órdenes'!$A$7:$A$334,0))</x:f>
        <x:v>46068</x:v>
      </x:c>
      <x:c r="H147" s="11" t="n">
        <x:f>DATE(YEAR(G147),MONTH(G147),1)</x:f>
        <x:v>46054</x:v>
      </x:c>
    </x:row>
    <x:row r="148" ht="23" customHeight="1">
      <x:c r="A148" s="2" t="str">
        <x:v>SIM-202602-015</x:v>
      </x:c>
      <x:c r="B148" s="2" t="str">
        <x:v>Gaseosas</x:v>
      </x:c>
      <x:c r="C148" s="2" t="str">
        <x:v>Manzana</x:v>
      </x:c>
      <x:c r="D148" s="2" t="n">
        <x:v>1</x:v>
      </x:c>
      <x:c r="E148" s="10" t="n">
        <x:v>5000</x:v>
      </x:c>
      <x:c r="F148" s="10" t="n">
        <x:v>5000</x:v>
      </x:c>
      <x:c r="G148" s="8" t="n">
        <x:f>INDEX('Órdenes'!$B$7:$B$334,MATCH(A148,'Órdenes'!$A$7:$A$334,0))</x:f>
        <x:v>46068</x:v>
      </x:c>
      <x:c r="H148" s="11" t="n">
        <x:f>DATE(YEAR(G148),MONTH(G148),1)</x:f>
        <x:v>46054</x:v>
      </x:c>
    </x:row>
    <x:row r="149" ht="23" customHeight="1">
      <x:c r="A149" s="2" t="str">
        <x:v>SIM-202602-015</x:v>
      </x:c>
      <x:c r="B149" s="2" t="str">
        <x:v>Gaseosas</x:v>
      </x:c>
      <x:c r="C149" s="2" t="str">
        <x:v>Sprite</x:v>
      </x:c>
      <x:c r="D149" s="2" t="n">
        <x:v>1</x:v>
      </x:c>
      <x:c r="E149" s="10" t="n">
        <x:v>5000</x:v>
      </x:c>
      <x:c r="F149" s="10" t="n">
        <x:v>5000</x:v>
      </x:c>
      <x:c r="G149" s="8" t="n">
        <x:f>INDEX('Órdenes'!$B$7:$B$334,MATCH(A149,'Órdenes'!$A$7:$A$334,0))</x:f>
        <x:v>46068</x:v>
      </x:c>
      <x:c r="H149" s="11" t="n">
        <x:f>DATE(YEAR(G149),MONTH(G149),1)</x:f>
        <x:v>46054</x:v>
      </x:c>
    </x:row>
    <x:row r="150" ht="23" customHeight="1">
      <x:c r="A150" s="2" t="str">
        <x:v>SIM-202602-016</x:v>
      </x:c>
      <x:c r="B150" s="2" t="str">
        <x:v>Hamburguesa Clásica</x:v>
      </x:c>
      <x:c r="C150" s="2" t="str"/>
      <x:c r="D150" s="2" t="n">
        <x:v>2</x:v>
      </x:c>
      <x:c r="E150" s="10" t="n">
        <x:v>15000</x:v>
      </x:c>
      <x:c r="F150" s="10" t="n">
        <x:v>30000</x:v>
      </x:c>
      <x:c r="G150" s="8" t="n">
        <x:f>INDEX('Órdenes'!$B$7:$B$334,MATCH(A150,'Órdenes'!$A$7:$A$334,0))</x:f>
        <x:v>46068</x:v>
      </x:c>
      <x:c r="H150" s="11" t="n">
        <x:f>DATE(YEAR(G150),MONTH(G150),1)</x:f>
        <x:v>46054</x:v>
      </x:c>
    </x:row>
    <x:row r="151" ht="23" customHeight="1">
      <x:c r="A151" s="2" t="str">
        <x:v>SIM-202602-016</x:v>
      </x:c>
      <x:c r="B151" s="2" t="str">
        <x:v>Gaseosas</x:v>
      </x:c>
      <x:c r="C151" s="2" t="str">
        <x:v>Coca-Cola</x:v>
      </x:c>
      <x:c r="D151" s="2" t="n">
        <x:v>1</x:v>
      </x:c>
      <x:c r="E151" s="10" t="n">
        <x:v>5000</x:v>
      </x:c>
      <x:c r="F151" s="10" t="n">
        <x:v>5000</x:v>
      </x:c>
      <x:c r="G151" s="8" t="n">
        <x:f>INDEX('Órdenes'!$B$7:$B$334,MATCH(A151,'Órdenes'!$A$7:$A$334,0))</x:f>
        <x:v>46068</x:v>
      </x:c>
      <x:c r="H151" s="11" t="n">
        <x:f>DATE(YEAR(G151),MONTH(G151),1)</x:f>
        <x:v>46054</x:v>
      </x:c>
    </x:row>
    <x:row r="152" ht="23" customHeight="1">
      <x:c r="A152" s="2" t="str">
        <x:v>SIM-202602-017</x:v>
      </x:c>
      <x:c r="B152" s="2" t="str">
        <x:v>Hamburguesa Clásica</x:v>
      </x:c>
      <x:c r="C152" s="2" t="str"/>
      <x:c r="D152" s="2" t="n">
        <x:v>1</x:v>
      </x:c>
      <x:c r="E152" s="10" t="n">
        <x:v>15000</x:v>
      </x:c>
      <x:c r="F152" s="10" t="n">
        <x:v>15000</x:v>
      </x:c>
      <x:c r="G152" s="8" t="n">
        <x:f>INDEX('Órdenes'!$B$7:$B$334,MATCH(A152,'Órdenes'!$A$7:$A$334,0))</x:f>
        <x:v>46068</x:v>
      </x:c>
      <x:c r="H152" s="11" t="n">
        <x:f>DATE(YEAR(G152),MONTH(G152),1)</x:f>
        <x:v>46054</x:v>
      </x:c>
    </x:row>
    <x:row r="153" ht="23" customHeight="1">
      <x:c r="A153" s="2" t="str">
        <x:v>SIM-202602-017</x:v>
      </x:c>
      <x:c r="B153" s="2" t="str">
        <x:v>Salchipapas</x:v>
      </x:c>
      <x:c r="C153" s="2" t="str"/>
      <x:c r="D153" s="2" t="n">
        <x:v>2</x:v>
      </x:c>
      <x:c r="E153" s="10" t="n">
        <x:v>12000</x:v>
      </x:c>
      <x:c r="F153" s="10" t="n">
        <x:v>24000</x:v>
      </x:c>
      <x:c r="G153" s="8" t="n">
        <x:f>INDEX('Órdenes'!$B$7:$B$334,MATCH(A153,'Órdenes'!$A$7:$A$334,0))</x:f>
        <x:v>46068</x:v>
      </x:c>
      <x:c r="H153" s="11" t="n">
        <x:f>DATE(YEAR(G153),MONTH(G153),1)</x:f>
        <x:v>46054</x:v>
      </x:c>
    </x:row>
    <x:row r="154" ht="23" customHeight="1">
      <x:c r="A154" s="2" t="str">
        <x:v>SIM-202602-017</x:v>
      </x:c>
      <x:c r="B154" s="2" t="str">
        <x:v>Gaseosas</x:v>
      </x:c>
      <x:c r="C154" s="2" t="str">
        <x:v>Coca-Cola</x:v>
      </x:c>
      <x:c r="D154" s="2" t="n">
        <x:v>2</x:v>
      </x:c>
      <x:c r="E154" s="10" t="n">
        <x:v>5000</x:v>
      </x:c>
      <x:c r="F154" s="10" t="n">
        <x:v>10000</x:v>
      </x:c>
      <x:c r="G154" s="8" t="n">
        <x:f>INDEX('Órdenes'!$B$7:$B$334,MATCH(A154,'Órdenes'!$A$7:$A$334,0))</x:f>
        <x:v>46068</x:v>
      </x:c>
      <x:c r="H154" s="11" t="n">
        <x:f>DATE(YEAR(G154),MONTH(G154),1)</x:f>
        <x:v>46054</x:v>
      </x:c>
    </x:row>
    <x:row r="155" ht="23" customHeight="1">
      <x:c r="A155" s="2" t="str">
        <x:v>SIM-202602-018</x:v>
      </x:c>
      <x:c r="B155" s="2" t="str">
        <x:v>Perro caliente</x:v>
      </x:c>
      <x:c r="C155" s="2" t="str"/>
      <x:c r="D155" s="2" t="n">
        <x:v>1</x:v>
      </x:c>
      <x:c r="E155" s="10" t="n">
        <x:v>13000</x:v>
      </x:c>
      <x:c r="F155" s="10" t="n">
        <x:v>13000</x:v>
      </x:c>
      <x:c r="G155" s="8" t="n">
        <x:f>INDEX('Órdenes'!$B$7:$B$334,MATCH(A155,'Órdenes'!$A$7:$A$334,0))</x:f>
        <x:v>46070</x:v>
      </x:c>
      <x:c r="H155" s="11" t="n">
        <x:f>DATE(YEAR(G155),MONTH(G155),1)</x:f>
        <x:v>46054</x:v>
      </x:c>
    </x:row>
    <x:row r="156" ht="23" customHeight="1">
      <x:c r="A156" s="2" t="str">
        <x:v>SIM-202602-018</x:v>
      </x:c>
      <x:c r="B156" s="2" t="str">
        <x:v>Gaseosas</x:v>
      </x:c>
      <x:c r="C156" s="2" t="str">
        <x:v>Coca-Cola</x:v>
      </x:c>
      <x:c r="D156" s="2" t="n">
        <x:v>1</x:v>
      </x:c>
      <x:c r="E156" s="10" t="n">
        <x:v>5000</x:v>
      </x:c>
      <x:c r="F156" s="10" t="n">
        <x:v>5000</x:v>
      </x:c>
      <x:c r="G156" s="8" t="n">
        <x:f>INDEX('Órdenes'!$B$7:$B$334,MATCH(A156,'Órdenes'!$A$7:$A$334,0))</x:f>
        <x:v>46070</x:v>
      </x:c>
      <x:c r="H156" s="11" t="n">
        <x:f>DATE(YEAR(G156),MONTH(G156),1)</x:f>
        <x:v>46054</x:v>
      </x:c>
    </x:row>
    <x:row r="157" ht="23" customHeight="1">
      <x:c r="A157" s="2" t="str">
        <x:v>SIM-202602-019</x:v>
      </x:c>
      <x:c r="B157" s="2" t="str">
        <x:v>Hamburguesa Clásica</x:v>
      </x:c>
      <x:c r="C157" s="2" t="str"/>
      <x:c r="D157" s="2" t="n">
        <x:v>1</x:v>
      </x:c>
      <x:c r="E157" s="10" t="n">
        <x:v>15000</x:v>
      </x:c>
      <x:c r="F157" s="10" t="n">
        <x:v>15000</x:v>
      </x:c>
      <x:c r="G157" s="8" t="n">
        <x:f>INDEX('Órdenes'!$B$7:$B$334,MATCH(A157,'Órdenes'!$A$7:$A$334,0))</x:f>
        <x:v>46070</x:v>
      </x:c>
      <x:c r="H157" s="11" t="n">
        <x:f>DATE(YEAR(G157),MONTH(G157),1)</x:f>
        <x:v>46054</x:v>
      </x:c>
    </x:row>
    <x:row r="158" ht="23" customHeight="1">
      <x:c r="A158" s="2" t="str">
        <x:v>SIM-202602-019</x:v>
      </x:c>
      <x:c r="B158" s="2" t="str">
        <x:v>Hamburguesa especial</x:v>
      </x:c>
      <x:c r="C158" s="2" t="str"/>
      <x:c r="D158" s="2" t="n">
        <x:v>1</x:v>
      </x:c>
      <x:c r="E158" s="10" t="n">
        <x:v>20000</x:v>
      </x:c>
      <x:c r="F158" s="10" t="n">
        <x:v>20000</x:v>
      </x:c>
      <x:c r="G158" s="8" t="n">
        <x:f>INDEX('Órdenes'!$B$7:$B$334,MATCH(A158,'Órdenes'!$A$7:$A$334,0))</x:f>
        <x:v>46070</x:v>
      </x:c>
      <x:c r="H158" s="11" t="n">
        <x:f>DATE(YEAR(G158),MONTH(G158),1)</x:f>
        <x:v>46054</x:v>
      </x:c>
    </x:row>
    <x:row r="159" ht="23" customHeight="1">
      <x:c r="A159" s="2" t="str">
        <x:v>SIM-202602-019</x:v>
      </x:c>
      <x:c r="B159" s="2" t="str">
        <x:v>Gaseosas</x:v>
      </x:c>
      <x:c r="C159" s="2" t="str">
        <x:v>Coca-Cola</x:v>
      </x:c>
      <x:c r="D159" s="2" t="n">
        <x:v>1</x:v>
      </x:c>
      <x:c r="E159" s="10" t="n">
        <x:v>5000</x:v>
      </x:c>
      <x:c r="F159" s="10" t="n">
        <x:v>5000</x:v>
      </x:c>
      <x:c r="G159" s="8" t="n">
        <x:f>INDEX('Órdenes'!$B$7:$B$334,MATCH(A159,'Órdenes'!$A$7:$A$334,0))</x:f>
        <x:v>46070</x:v>
      </x:c>
      <x:c r="H159" s="11" t="n">
        <x:f>DATE(YEAR(G159),MONTH(G159),1)</x:f>
        <x:v>46054</x:v>
      </x:c>
    </x:row>
    <x:row r="160" ht="23" customHeight="1">
      <x:c r="A160" s="2" t="str">
        <x:v>SIM-202602-019</x:v>
      </x:c>
      <x:c r="B160" s="2" t="str">
        <x:v>Gaseosas</x:v>
      </x:c>
      <x:c r="C160" s="2" t="str">
        <x:v>Sprite</x:v>
      </x:c>
      <x:c r="D160" s="2" t="n">
        <x:v>1</x:v>
      </x:c>
      <x:c r="E160" s="10" t="n">
        <x:v>5000</x:v>
      </x:c>
      <x:c r="F160" s="10" t="n">
        <x:v>5000</x:v>
      </x:c>
      <x:c r="G160" s="8" t="n">
        <x:f>INDEX('Órdenes'!$B$7:$B$334,MATCH(A160,'Órdenes'!$A$7:$A$334,0))</x:f>
        <x:v>46070</x:v>
      </x:c>
      <x:c r="H160" s="11" t="n">
        <x:f>DATE(YEAR(G160),MONTH(G160),1)</x:f>
        <x:v>46054</x:v>
      </x:c>
    </x:row>
    <x:row r="161" ht="23" customHeight="1">
      <x:c r="A161" s="2" t="str">
        <x:v>SIM-202602-020</x:v>
      </x:c>
      <x:c r="B161" s="2" t="str">
        <x:v>Hamburguesa Clásica</x:v>
      </x:c>
      <x:c r="C161" s="2" t="str"/>
      <x:c r="D161" s="2" t="n">
        <x:v>1</x:v>
      </x:c>
      <x:c r="E161" s="10" t="n">
        <x:v>15000</x:v>
      </x:c>
      <x:c r="F161" s="10" t="n">
        <x:v>15000</x:v>
      </x:c>
      <x:c r="G161" s="8" t="n">
        <x:f>INDEX('Órdenes'!$B$7:$B$334,MATCH(A161,'Órdenes'!$A$7:$A$334,0))</x:f>
        <x:v>46072</x:v>
      </x:c>
      <x:c r="H161" s="11" t="n">
        <x:f>DATE(YEAR(G161),MONTH(G161),1)</x:f>
        <x:v>46054</x:v>
      </x:c>
    </x:row>
    <x:row r="162" ht="23" customHeight="1">
      <x:c r="A162" s="2" t="str">
        <x:v>SIM-202602-020</x:v>
      </x:c>
      <x:c r="B162" s="2" t="str">
        <x:v>Hamburguesa especial</x:v>
      </x:c>
      <x:c r="C162" s="2" t="str"/>
      <x:c r="D162" s="2" t="n">
        <x:v>1</x:v>
      </x:c>
      <x:c r="E162" s="10" t="n">
        <x:v>20000</x:v>
      </x:c>
      <x:c r="F162" s="10" t="n">
        <x:v>20000</x:v>
      </x:c>
      <x:c r="G162" s="8" t="n">
        <x:f>INDEX('Órdenes'!$B$7:$B$334,MATCH(A162,'Órdenes'!$A$7:$A$334,0))</x:f>
        <x:v>46072</x:v>
      </x:c>
      <x:c r="H162" s="11" t="n">
        <x:f>DATE(YEAR(G162),MONTH(G162),1)</x:f>
        <x:v>46054</x:v>
      </x:c>
    </x:row>
    <x:row r="163" ht="23" customHeight="1">
      <x:c r="A163" s="2" t="str">
        <x:v>SIM-202602-020</x:v>
      </x:c>
      <x:c r="B163" s="2" t="str">
        <x:v>Perro caliente</x:v>
      </x:c>
      <x:c r="C163" s="2" t="str"/>
      <x:c r="D163" s="2" t="n">
        <x:v>1</x:v>
      </x:c>
      <x:c r="E163" s="10" t="n">
        <x:v>13000</x:v>
      </x:c>
      <x:c r="F163" s="10" t="n">
        <x:v>13000</x:v>
      </x:c>
      <x:c r="G163" s="8" t="n">
        <x:f>INDEX('Órdenes'!$B$7:$B$334,MATCH(A163,'Órdenes'!$A$7:$A$334,0))</x:f>
        <x:v>46072</x:v>
      </x:c>
      <x:c r="H163" s="11" t="n">
        <x:f>DATE(YEAR(G163),MONTH(G163),1)</x:f>
        <x:v>46054</x:v>
      </x:c>
    </x:row>
    <x:row r="164" ht="23" customHeight="1">
      <x:c r="A164" s="2" t="str">
        <x:v>SIM-202602-020</x:v>
      </x:c>
      <x:c r="B164" s="2" t="str">
        <x:v>Gaseosas</x:v>
      </x:c>
      <x:c r="C164" s="2" t="str">
        <x:v>Coca-Cola</x:v>
      </x:c>
      <x:c r="D164" s="2" t="n">
        <x:v>2</x:v>
      </x:c>
      <x:c r="E164" s="10" t="n">
        <x:v>5000</x:v>
      </x:c>
      <x:c r="F164" s="10" t="n">
        <x:v>10000</x:v>
      </x:c>
      <x:c r="G164" s="8" t="n">
        <x:f>INDEX('Órdenes'!$B$7:$B$334,MATCH(A164,'Órdenes'!$A$7:$A$334,0))</x:f>
        <x:v>46072</x:v>
      </x:c>
      <x:c r="H164" s="11" t="n">
        <x:f>DATE(YEAR(G164),MONTH(G164),1)</x:f>
        <x:v>46054</x:v>
      </x:c>
    </x:row>
    <x:row r="165" ht="23" customHeight="1">
      <x:c r="A165" s="2" t="str">
        <x:v>SIM-202602-020</x:v>
      </x:c>
      <x:c r="B165" s="2" t="str">
        <x:v>Gaseosas</x:v>
      </x:c>
      <x:c r="C165" s="2" t="str">
        <x:v>Manzana</x:v>
      </x:c>
      <x:c r="D165" s="2" t="n">
        <x:v>1</x:v>
      </x:c>
      <x:c r="E165" s="10" t="n">
        <x:v>5000</x:v>
      </x:c>
      <x:c r="F165" s="10" t="n">
        <x:v>5000</x:v>
      </x:c>
      <x:c r="G165" s="8" t="n">
        <x:f>INDEX('Órdenes'!$B$7:$B$334,MATCH(A165,'Órdenes'!$A$7:$A$334,0))</x:f>
        <x:v>46072</x:v>
      </x:c>
      <x:c r="H165" s="11" t="n">
        <x:f>DATE(YEAR(G165),MONTH(G165),1)</x:f>
        <x:v>46054</x:v>
      </x:c>
    </x:row>
    <x:row r="166" ht="23" customHeight="1">
      <x:c r="A166" s="2" t="str">
        <x:v>SIM-202602-021</x:v>
      </x:c>
      <x:c r="B166" s="2" t="str">
        <x:v>Perro caliente</x:v>
      </x:c>
      <x:c r="C166" s="2" t="str"/>
      <x:c r="D166" s="2" t="n">
        <x:v>1</x:v>
      </x:c>
      <x:c r="E166" s="10" t="n">
        <x:v>13000</x:v>
      </x:c>
      <x:c r="F166" s="10" t="n">
        <x:v>13000</x:v>
      </x:c>
      <x:c r="G166" s="8" t="n">
        <x:f>INDEX('Órdenes'!$B$7:$B$334,MATCH(A166,'Órdenes'!$A$7:$A$334,0))</x:f>
        <x:v>46072</x:v>
      </x:c>
      <x:c r="H166" s="11" t="n">
        <x:f>DATE(YEAR(G166),MONTH(G166),1)</x:f>
        <x:v>46054</x:v>
      </x:c>
    </x:row>
    <x:row r="167" ht="23" customHeight="1">
      <x:c r="A167" s="2" t="str">
        <x:v>SIM-202602-021</x:v>
      </x:c>
      <x:c r="B167" s="2" t="str">
        <x:v>Gaseosas</x:v>
      </x:c>
      <x:c r="C167" s="2" t="str">
        <x:v>Manzana</x:v>
      </x:c>
      <x:c r="D167" s="2" t="n">
        <x:v>1</x:v>
      </x:c>
      <x:c r="E167" s="10" t="n">
        <x:v>5000</x:v>
      </x:c>
      <x:c r="F167" s="10" t="n">
        <x:v>5000</x:v>
      </x:c>
      <x:c r="G167" s="8" t="n">
        <x:f>INDEX('Órdenes'!$B$7:$B$334,MATCH(A167,'Órdenes'!$A$7:$A$334,0))</x:f>
        <x:v>46072</x:v>
      </x:c>
      <x:c r="H167" s="11" t="n">
        <x:f>DATE(YEAR(G167),MONTH(G167),1)</x:f>
        <x:v>46054</x:v>
      </x:c>
    </x:row>
    <x:row r="168" ht="23" customHeight="1">
      <x:c r="A168" s="2" t="str">
        <x:v>SIM-202602-022</x:v>
      </x:c>
      <x:c r="B168" s="2" t="str">
        <x:v>Hamburguesa Clásica</x:v>
      </x:c>
      <x:c r="C168" s="2" t="str"/>
      <x:c r="D168" s="2" t="n">
        <x:v>1</x:v>
      </x:c>
      <x:c r="E168" s="10" t="n">
        <x:v>15000</x:v>
      </x:c>
      <x:c r="F168" s="10" t="n">
        <x:v>15000</x:v>
      </x:c>
      <x:c r="G168" s="8" t="n">
        <x:f>INDEX('Órdenes'!$B$7:$B$334,MATCH(A168,'Órdenes'!$A$7:$A$334,0))</x:f>
        <x:v>46074</x:v>
      </x:c>
      <x:c r="H168" s="11" t="n">
        <x:f>DATE(YEAR(G168),MONTH(G168),1)</x:f>
        <x:v>46054</x:v>
      </x:c>
    </x:row>
    <x:row r="169" ht="23" customHeight="1">
      <x:c r="A169" s="2" t="str">
        <x:v>SIM-202602-022</x:v>
      </x:c>
      <x:c r="B169" s="2" t="str">
        <x:v>Salchipapas</x:v>
      </x:c>
      <x:c r="C169" s="2" t="str"/>
      <x:c r="D169" s="2" t="n">
        <x:v>1</x:v>
      </x:c>
      <x:c r="E169" s="10" t="n">
        <x:v>12000</x:v>
      </x:c>
      <x:c r="F169" s="10" t="n">
        <x:v>12000</x:v>
      </x:c>
      <x:c r="G169" s="8" t="n">
        <x:f>INDEX('Órdenes'!$B$7:$B$334,MATCH(A169,'Órdenes'!$A$7:$A$334,0))</x:f>
        <x:v>46074</x:v>
      </x:c>
      <x:c r="H169" s="11" t="n">
        <x:f>DATE(YEAR(G169),MONTH(G169),1)</x:f>
        <x:v>46054</x:v>
      </x:c>
    </x:row>
    <x:row r="170" ht="23" customHeight="1">
      <x:c r="A170" s="2" t="str">
        <x:v>SIM-202602-022</x:v>
      </x:c>
      <x:c r="B170" s="2" t="str">
        <x:v>Gaseosas</x:v>
      </x:c>
      <x:c r="C170" s="2" t="str">
        <x:v>Coca-Cola</x:v>
      </x:c>
      <x:c r="D170" s="2" t="n">
        <x:v>2</x:v>
      </x:c>
      <x:c r="E170" s="10" t="n">
        <x:v>5000</x:v>
      </x:c>
      <x:c r="F170" s="10" t="n">
        <x:v>10000</x:v>
      </x:c>
      <x:c r="G170" s="8" t="n">
        <x:f>INDEX('Órdenes'!$B$7:$B$334,MATCH(A170,'Órdenes'!$A$7:$A$334,0))</x:f>
        <x:v>46074</x:v>
      </x:c>
      <x:c r="H170" s="11" t="n">
        <x:f>DATE(YEAR(G170),MONTH(G170),1)</x:f>
        <x:v>46054</x:v>
      </x:c>
    </x:row>
    <x:row r="171" ht="23" customHeight="1">
      <x:c r="A171" s="2" t="str">
        <x:v>SIM-202602-023</x:v>
      </x:c>
      <x:c r="B171" s="2" t="str">
        <x:v>Hamburguesa Clásica</x:v>
      </x:c>
      <x:c r="C171" s="2" t="str"/>
      <x:c r="D171" s="2" t="n">
        <x:v>3</x:v>
      </x:c>
      <x:c r="E171" s="10" t="n">
        <x:v>15000</x:v>
      </x:c>
      <x:c r="F171" s="10" t="n">
        <x:v>45000</x:v>
      </x:c>
      <x:c r="G171" s="8" t="n">
        <x:f>INDEX('Órdenes'!$B$7:$B$334,MATCH(A171,'Órdenes'!$A$7:$A$334,0))</x:f>
        <x:v>46074</x:v>
      </x:c>
      <x:c r="H171" s="11" t="n">
        <x:f>DATE(YEAR(G171),MONTH(G171),1)</x:f>
        <x:v>46054</x:v>
      </x:c>
    </x:row>
    <x:row r="172" ht="23" customHeight="1">
      <x:c r="A172" s="2" t="str">
        <x:v>SIM-202602-023</x:v>
      </x:c>
      <x:c r="B172" s="2" t="str">
        <x:v>Gaseosas</x:v>
      </x:c>
      <x:c r="C172" s="2" t="str">
        <x:v>Coca-Cola</x:v>
      </x:c>
      <x:c r="D172" s="2" t="n">
        <x:v>2</x:v>
      </x:c>
      <x:c r="E172" s="10" t="n">
        <x:v>5000</x:v>
      </x:c>
      <x:c r="F172" s="10" t="n">
        <x:v>10000</x:v>
      </x:c>
      <x:c r="G172" s="8" t="n">
        <x:f>INDEX('Órdenes'!$B$7:$B$334,MATCH(A172,'Órdenes'!$A$7:$A$334,0))</x:f>
        <x:v>46074</x:v>
      </x:c>
      <x:c r="H172" s="11" t="n">
        <x:f>DATE(YEAR(G172),MONTH(G172),1)</x:f>
        <x:v>46054</x:v>
      </x:c>
    </x:row>
    <x:row r="173" ht="23" customHeight="1">
      <x:c r="A173" s="2" t="str">
        <x:v>SIM-202602-023</x:v>
      </x:c>
      <x:c r="B173" s="2" t="str">
        <x:v>Gaseosas</x:v>
      </x:c>
      <x:c r="C173" s="2" t="str">
        <x:v>Manzana</x:v>
      </x:c>
      <x:c r="D173" s="2" t="n">
        <x:v>1</x:v>
      </x:c>
      <x:c r="E173" s="10" t="n">
        <x:v>5000</x:v>
      </x:c>
      <x:c r="F173" s="10" t="n">
        <x:v>5000</x:v>
      </x:c>
      <x:c r="G173" s="8" t="n">
        <x:f>INDEX('Órdenes'!$B$7:$B$334,MATCH(A173,'Órdenes'!$A$7:$A$334,0))</x:f>
        <x:v>46074</x:v>
      </x:c>
      <x:c r="H173" s="11" t="n">
        <x:f>DATE(YEAR(G173),MONTH(G173),1)</x:f>
        <x:v>46054</x:v>
      </x:c>
    </x:row>
    <x:row r="174" ht="23" customHeight="1">
      <x:c r="A174" s="2" t="str">
        <x:v>SIM-202602-024</x:v>
      </x:c>
      <x:c r="B174" s="2" t="str">
        <x:v>Hamburguesa Clásica</x:v>
      </x:c>
      <x:c r="C174" s="2" t="str"/>
      <x:c r="D174" s="2" t="n">
        <x:v>1</x:v>
      </x:c>
      <x:c r="E174" s="10" t="n">
        <x:v>15000</x:v>
      </x:c>
      <x:c r="F174" s="10" t="n">
        <x:v>15000</x:v>
      </x:c>
      <x:c r="G174" s="8" t="n">
        <x:f>INDEX('Órdenes'!$B$7:$B$334,MATCH(A174,'Órdenes'!$A$7:$A$334,0))</x:f>
        <x:v>46075</x:v>
      </x:c>
      <x:c r="H174" s="11" t="n">
        <x:f>DATE(YEAR(G174),MONTH(G174),1)</x:f>
        <x:v>46054</x:v>
      </x:c>
    </x:row>
    <x:row r="175" ht="23" customHeight="1">
      <x:c r="A175" s="2" t="str">
        <x:v>SIM-202602-024</x:v>
      </x:c>
      <x:c r="B175" s="2" t="str">
        <x:v>Gaseosas</x:v>
      </x:c>
      <x:c r="C175" s="2" t="str">
        <x:v>Manzana</x:v>
      </x:c>
      <x:c r="D175" s="2" t="n">
        <x:v>1</x:v>
      </x:c>
      <x:c r="E175" s="10" t="n">
        <x:v>5000</x:v>
      </x:c>
      <x:c r="F175" s="10" t="n">
        <x:v>5000</x:v>
      </x:c>
      <x:c r="G175" s="8" t="n">
        <x:f>INDEX('Órdenes'!$B$7:$B$334,MATCH(A175,'Órdenes'!$A$7:$A$334,0))</x:f>
        <x:v>46075</x:v>
      </x:c>
      <x:c r="H175" s="11" t="n">
        <x:f>DATE(YEAR(G175),MONTH(G175),1)</x:f>
        <x:v>46054</x:v>
      </x:c>
    </x:row>
    <x:row r="176" ht="23" customHeight="1">
      <x:c r="A176" s="2" t="str">
        <x:v>SIM-202602-025</x:v>
      </x:c>
      <x:c r="B176" s="2" t="str">
        <x:v>Hamburguesa Clásica</x:v>
      </x:c>
      <x:c r="C176" s="2" t="str"/>
      <x:c r="D176" s="2" t="n">
        <x:v>1</x:v>
      </x:c>
      <x:c r="E176" s="10" t="n">
        <x:v>15000</x:v>
      </x:c>
      <x:c r="F176" s="10" t="n">
        <x:v>15000</x:v>
      </x:c>
      <x:c r="G176" s="8" t="n">
        <x:f>INDEX('Órdenes'!$B$7:$B$334,MATCH(A176,'Órdenes'!$A$7:$A$334,0))</x:f>
        <x:v>46075</x:v>
      </x:c>
      <x:c r="H176" s="11" t="n">
        <x:f>DATE(YEAR(G176),MONTH(G176),1)</x:f>
        <x:v>46054</x:v>
      </x:c>
    </x:row>
    <x:row r="177" ht="23" customHeight="1">
      <x:c r="A177" s="2" t="str">
        <x:v>SIM-202602-025</x:v>
      </x:c>
      <x:c r="B177" s="2" t="str">
        <x:v>Gaseosas</x:v>
      </x:c>
      <x:c r="C177" s="2" t="str">
        <x:v>Sprite</x:v>
      </x:c>
      <x:c r="D177" s="2" t="n">
        <x:v>1</x:v>
      </x:c>
      <x:c r="E177" s="10" t="n">
        <x:v>5000</x:v>
      </x:c>
      <x:c r="F177" s="10" t="n">
        <x:v>5000</x:v>
      </x:c>
      <x:c r="G177" s="8" t="n">
        <x:f>INDEX('Órdenes'!$B$7:$B$334,MATCH(A177,'Órdenes'!$A$7:$A$334,0))</x:f>
        <x:v>46075</x:v>
      </x:c>
      <x:c r="H177" s="11" t="n">
        <x:f>DATE(YEAR(G177),MONTH(G177),1)</x:f>
        <x:v>46054</x:v>
      </x:c>
    </x:row>
    <x:row r="178" ht="23" customHeight="1">
      <x:c r="A178" s="2" t="str">
        <x:v>SIM-202602-026</x:v>
      </x:c>
      <x:c r="B178" s="2" t="str">
        <x:v>Hamburguesa Clásica</x:v>
      </x:c>
      <x:c r="C178" s="2" t="str"/>
      <x:c r="D178" s="2" t="n">
        <x:v>1</x:v>
      </x:c>
      <x:c r="E178" s="10" t="n">
        <x:v>15000</x:v>
      </x:c>
      <x:c r="F178" s="10" t="n">
        <x:v>15000</x:v>
      </x:c>
      <x:c r="G178" s="8" t="n">
        <x:f>INDEX('Órdenes'!$B$7:$B$334,MATCH(A178,'Órdenes'!$A$7:$A$334,0))</x:f>
        <x:v>46075</x:v>
      </x:c>
      <x:c r="H178" s="11" t="n">
        <x:f>DATE(YEAR(G178),MONTH(G178),1)</x:f>
        <x:v>46054</x:v>
      </x:c>
    </x:row>
    <x:row r="179" ht="23" customHeight="1">
      <x:c r="A179" s="2" t="str">
        <x:v>SIM-202602-026</x:v>
      </x:c>
      <x:c r="B179" s="2" t="str">
        <x:v>Salchipapas</x:v>
      </x:c>
      <x:c r="C179" s="2" t="str"/>
      <x:c r="D179" s="2" t="n">
        <x:v>1</x:v>
      </x:c>
      <x:c r="E179" s="10" t="n">
        <x:v>12000</x:v>
      </x:c>
      <x:c r="F179" s="10" t="n">
        <x:v>12000</x:v>
      </x:c>
      <x:c r="G179" s="8" t="n">
        <x:f>INDEX('Órdenes'!$B$7:$B$334,MATCH(A179,'Órdenes'!$A$7:$A$334,0))</x:f>
        <x:v>46075</x:v>
      </x:c>
      <x:c r="H179" s="11" t="n">
        <x:f>DATE(YEAR(G179),MONTH(G179),1)</x:f>
        <x:v>46054</x:v>
      </x:c>
    </x:row>
    <x:row r="180" ht="23" customHeight="1">
      <x:c r="A180" s="2" t="str">
        <x:v>SIM-202602-027</x:v>
      </x:c>
      <x:c r="B180" s="2" t="str">
        <x:v>Hamburguesa Clásica</x:v>
      </x:c>
      <x:c r="C180" s="2" t="str"/>
      <x:c r="D180" s="2" t="n">
        <x:v>1</x:v>
      </x:c>
      <x:c r="E180" s="10" t="n">
        <x:v>15000</x:v>
      </x:c>
      <x:c r="F180" s="10" t="n">
        <x:v>15000</x:v>
      </x:c>
      <x:c r="G180" s="8" t="n">
        <x:f>INDEX('Órdenes'!$B$7:$B$334,MATCH(A180,'Órdenes'!$A$7:$A$334,0))</x:f>
        <x:v>46078</x:v>
      </x:c>
      <x:c r="H180" s="11" t="n">
        <x:f>DATE(YEAR(G180),MONTH(G180),1)</x:f>
        <x:v>46054</x:v>
      </x:c>
    </x:row>
    <x:row r="181" ht="23" customHeight="1">
      <x:c r="A181" s="2" t="str">
        <x:v>SIM-202602-027</x:v>
      </x:c>
      <x:c r="B181" s="2" t="str">
        <x:v>Perro caliente</x:v>
      </x:c>
      <x:c r="C181" s="2" t="str"/>
      <x:c r="D181" s="2" t="n">
        <x:v>2</x:v>
      </x:c>
      <x:c r="E181" s="10" t="n">
        <x:v>13000</x:v>
      </x:c>
      <x:c r="F181" s="10" t="n">
        <x:v>26000</x:v>
      </x:c>
      <x:c r="G181" s="8" t="n">
        <x:f>INDEX('Órdenes'!$B$7:$B$334,MATCH(A181,'Órdenes'!$A$7:$A$334,0))</x:f>
        <x:v>46078</x:v>
      </x:c>
      <x:c r="H181" s="11" t="n">
        <x:f>DATE(YEAR(G181),MONTH(G181),1)</x:f>
        <x:v>46054</x:v>
      </x:c>
    </x:row>
    <x:row r="182" ht="23" customHeight="1">
      <x:c r="A182" s="2" t="str">
        <x:v>SIM-202602-027</x:v>
      </x:c>
      <x:c r="B182" s="2" t="str">
        <x:v>Gaseosas</x:v>
      </x:c>
      <x:c r="C182" s="2" t="str">
        <x:v>Coca-Cola</x:v>
      </x:c>
      <x:c r="D182" s="2" t="n">
        <x:v>3</x:v>
      </x:c>
      <x:c r="E182" s="10" t="n">
        <x:v>5000</x:v>
      </x:c>
      <x:c r="F182" s="10" t="n">
        <x:v>15000</x:v>
      </x:c>
      <x:c r="G182" s="8" t="n">
        <x:f>INDEX('Órdenes'!$B$7:$B$334,MATCH(A182,'Órdenes'!$A$7:$A$334,0))</x:f>
        <x:v>46078</x:v>
      </x:c>
      <x:c r="H182" s="11" t="n">
        <x:f>DATE(YEAR(G182),MONTH(G182),1)</x:f>
        <x:v>46054</x:v>
      </x:c>
    </x:row>
    <x:row r="183" ht="23" customHeight="1">
      <x:c r="A183" s="2" t="str">
        <x:v>SIM-202602-028</x:v>
      </x:c>
      <x:c r="B183" s="2" t="str">
        <x:v>Hamburguesa especial</x:v>
      </x:c>
      <x:c r="C183" s="2" t="str"/>
      <x:c r="D183" s="2" t="n">
        <x:v>1</x:v>
      </x:c>
      <x:c r="E183" s="10" t="n">
        <x:v>20000</x:v>
      </x:c>
      <x:c r="F183" s="10" t="n">
        <x:v>20000</x:v>
      </x:c>
      <x:c r="G183" s="8" t="n">
        <x:f>INDEX('Órdenes'!$B$7:$B$334,MATCH(A183,'Órdenes'!$A$7:$A$334,0))</x:f>
        <x:v>46080</x:v>
      </x:c>
      <x:c r="H183" s="11" t="n">
        <x:f>DATE(YEAR(G183),MONTH(G183),1)</x:f>
        <x:v>46054</x:v>
      </x:c>
    </x:row>
    <x:row r="184" ht="23" customHeight="1">
      <x:c r="A184" s="2" t="str">
        <x:v>SIM-202602-028</x:v>
      </x:c>
      <x:c r="B184" s="2" t="str">
        <x:v>Perro caliente</x:v>
      </x:c>
      <x:c r="C184" s="2" t="str"/>
      <x:c r="D184" s="2" t="n">
        <x:v>1</x:v>
      </x:c>
      <x:c r="E184" s="10" t="n">
        <x:v>13000</x:v>
      </x:c>
      <x:c r="F184" s="10" t="n">
        <x:v>13000</x:v>
      </x:c>
      <x:c r="G184" s="8" t="n">
        <x:f>INDEX('Órdenes'!$B$7:$B$334,MATCH(A184,'Órdenes'!$A$7:$A$334,0))</x:f>
        <x:v>46080</x:v>
      </x:c>
      <x:c r="H184" s="11" t="n">
        <x:f>DATE(YEAR(G184),MONTH(G184),1)</x:f>
        <x:v>46054</x:v>
      </x:c>
    </x:row>
    <x:row r="185" ht="23" customHeight="1">
      <x:c r="A185" s="2" t="str">
        <x:v>SIM-202602-028</x:v>
      </x:c>
      <x:c r="B185" s="2" t="str">
        <x:v>Gaseosas</x:v>
      </x:c>
      <x:c r="C185" s="2" t="str">
        <x:v>Coca-Cola</x:v>
      </x:c>
      <x:c r="D185" s="2" t="n">
        <x:v>2</x:v>
      </x:c>
      <x:c r="E185" s="10" t="n">
        <x:v>5000</x:v>
      </x:c>
      <x:c r="F185" s="10" t="n">
        <x:v>10000</x:v>
      </x:c>
      <x:c r="G185" s="8" t="n">
        <x:f>INDEX('Órdenes'!$B$7:$B$334,MATCH(A185,'Órdenes'!$A$7:$A$334,0))</x:f>
        <x:v>46080</x:v>
      </x:c>
      <x:c r="H185" s="11" t="n">
        <x:f>DATE(YEAR(G185),MONTH(G185),1)</x:f>
        <x:v>46054</x:v>
      </x:c>
    </x:row>
    <x:row r="186" ht="23" customHeight="1">
      <x:c r="A186" s="2" t="str">
        <x:v>SIM-202602-029</x:v>
      </x:c>
      <x:c r="B186" s="2" t="str">
        <x:v>Hamburguesa Clásica</x:v>
      </x:c>
      <x:c r="C186" s="2" t="str"/>
      <x:c r="D186" s="2" t="n">
        <x:v>1</x:v>
      </x:c>
      <x:c r="E186" s="10" t="n">
        <x:v>15000</x:v>
      </x:c>
      <x:c r="F186" s="10" t="n">
        <x:v>15000</x:v>
      </x:c>
      <x:c r="G186" s="8" t="n">
        <x:f>INDEX('Órdenes'!$B$7:$B$334,MATCH(A186,'Órdenes'!$A$7:$A$334,0))</x:f>
        <x:v>46080</x:v>
      </x:c>
      <x:c r="H186" s="11" t="n">
        <x:f>DATE(YEAR(G186),MONTH(G186),1)</x:f>
        <x:v>46054</x:v>
      </x:c>
    </x:row>
    <x:row r="187" ht="23" customHeight="1">
      <x:c r="A187" s="2" t="str">
        <x:v>SIM-202602-029</x:v>
      </x:c>
      <x:c r="B187" s="2" t="str">
        <x:v>Perro caliente</x:v>
      </x:c>
      <x:c r="C187" s="2" t="str"/>
      <x:c r="D187" s="2" t="n">
        <x:v>1</x:v>
      </x:c>
      <x:c r="E187" s="10" t="n">
        <x:v>13000</x:v>
      </x:c>
      <x:c r="F187" s="10" t="n">
        <x:v>13000</x:v>
      </x:c>
      <x:c r="G187" s="8" t="n">
        <x:f>INDEX('Órdenes'!$B$7:$B$334,MATCH(A187,'Órdenes'!$A$7:$A$334,0))</x:f>
        <x:v>46080</x:v>
      </x:c>
      <x:c r="H187" s="11" t="n">
        <x:f>DATE(YEAR(G187),MONTH(G187),1)</x:f>
        <x:v>46054</x:v>
      </x:c>
    </x:row>
    <x:row r="188" ht="23" customHeight="1">
      <x:c r="A188" s="2" t="str">
        <x:v>SIM-202602-029</x:v>
      </x:c>
      <x:c r="B188" s="2" t="str">
        <x:v>Salchipapas</x:v>
      </x:c>
      <x:c r="C188" s="2" t="str"/>
      <x:c r="D188" s="2" t="n">
        <x:v>1</x:v>
      </x:c>
      <x:c r="E188" s="10" t="n">
        <x:v>12000</x:v>
      </x:c>
      <x:c r="F188" s="10" t="n">
        <x:v>12000</x:v>
      </x:c>
      <x:c r="G188" s="8" t="n">
        <x:f>INDEX('Órdenes'!$B$7:$B$334,MATCH(A188,'Órdenes'!$A$7:$A$334,0))</x:f>
        <x:v>46080</x:v>
      </x:c>
      <x:c r="H188" s="11" t="n">
        <x:f>DATE(YEAR(G188),MONTH(G188),1)</x:f>
        <x:v>46054</x:v>
      </x:c>
    </x:row>
    <x:row r="189" ht="23" customHeight="1">
      <x:c r="A189" s="2" t="str">
        <x:v>SIM-202602-029</x:v>
      </x:c>
      <x:c r="B189" s="2" t="str">
        <x:v>Gaseosas</x:v>
      </x:c>
      <x:c r="C189" s="2" t="str">
        <x:v>Manzana</x:v>
      </x:c>
      <x:c r="D189" s="2" t="n">
        <x:v>1</x:v>
      </x:c>
      <x:c r="E189" s="10" t="n">
        <x:v>5000</x:v>
      </x:c>
      <x:c r="F189" s="10" t="n">
        <x:v>5000</x:v>
      </x:c>
      <x:c r="G189" s="8" t="n">
        <x:f>INDEX('Órdenes'!$B$7:$B$334,MATCH(A189,'Órdenes'!$A$7:$A$334,0))</x:f>
        <x:v>46080</x:v>
      </x:c>
      <x:c r="H189" s="11" t="n">
        <x:f>DATE(YEAR(G189),MONTH(G189),1)</x:f>
        <x:v>46054</x:v>
      </x:c>
    </x:row>
    <x:row r="190" ht="23" customHeight="1">
      <x:c r="A190" s="2" t="str">
        <x:v>SIM-202602-029</x:v>
      </x:c>
      <x:c r="B190" s="2" t="str">
        <x:v>Gaseosas</x:v>
      </x:c>
      <x:c r="C190" s="2" t="str">
        <x:v>Sprite</x:v>
      </x:c>
      <x:c r="D190" s="2" t="n">
        <x:v>1</x:v>
      </x:c>
      <x:c r="E190" s="10" t="n">
        <x:v>5000</x:v>
      </x:c>
      <x:c r="F190" s="10" t="n">
        <x:v>5000</x:v>
      </x:c>
      <x:c r="G190" s="8" t="n">
        <x:f>INDEX('Órdenes'!$B$7:$B$334,MATCH(A190,'Órdenes'!$A$7:$A$334,0))</x:f>
        <x:v>46080</x:v>
      </x:c>
      <x:c r="H190" s="11" t="n">
        <x:f>DATE(YEAR(G190),MONTH(G190),1)</x:f>
        <x:v>46054</x:v>
      </x:c>
    </x:row>
    <x:row r="191" ht="23" customHeight="1">
      <x:c r="A191" s="2" t="str">
        <x:v>SIM-202602-030</x:v>
      </x:c>
      <x:c r="B191" s="2" t="str">
        <x:v>Hamburguesa especial</x:v>
      </x:c>
      <x:c r="C191" s="2" t="str"/>
      <x:c r="D191" s="2" t="n">
        <x:v>1</x:v>
      </x:c>
      <x:c r="E191" s="10" t="n">
        <x:v>20000</x:v>
      </x:c>
      <x:c r="F191" s="10" t="n">
        <x:v>20000</x:v>
      </x:c>
      <x:c r="G191" s="8" t="n">
        <x:f>INDEX('Órdenes'!$B$7:$B$334,MATCH(A191,'Órdenes'!$A$7:$A$334,0))</x:f>
        <x:v>46080</x:v>
      </x:c>
      <x:c r="H191" s="11" t="n">
        <x:f>DATE(YEAR(G191),MONTH(G191),1)</x:f>
        <x:v>46054</x:v>
      </x:c>
    </x:row>
    <x:row r="192" ht="23" customHeight="1">
      <x:c r="A192" s="2" t="str">
        <x:v>SIM-202602-030</x:v>
      </x:c>
      <x:c r="B192" s="2" t="str">
        <x:v>Gaseosas</x:v>
      </x:c>
      <x:c r="C192" s="2" t="str">
        <x:v>Coca-Cola</x:v>
      </x:c>
      <x:c r="D192" s="2" t="n">
        <x:v>1</x:v>
      </x:c>
      <x:c r="E192" s="10" t="n">
        <x:v>5000</x:v>
      </x:c>
      <x:c r="F192" s="10" t="n">
        <x:v>5000</x:v>
      </x:c>
      <x:c r="G192" s="8" t="n">
        <x:f>INDEX('Órdenes'!$B$7:$B$334,MATCH(A192,'Órdenes'!$A$7:$A$334,0))</x:f>
        <x:v>46080</x:v>
      </x:c>
      <x:c r="H192" s="11" t="n">
        <x:f>DATE(YEAR(G192),MONTH(G192),1)</x:f>
        <x:v>46054</x:v>
      </x:c>
    </x:row>
    <x:row r="193" ht="23" customHeight="1">
      <x:c r="A193" s="2" t="str">
        <x:v>SIM-202602-031</x:v>
      </x:c>
      <x:c r="B193" s="2" t="str">
        <x:v>Hamburguesa especial</x:v>
      </x:c>
      <x:c r="C193" s="2" t="str"/>
      <x:c r="D193" s="2" t="n">
        <x:v>2</x:v>
      </x:c>
      <x:c r="E193" s="10" t="n">
        <x:v>20000</x:v>
      </x:c>
      <x:c r="F193" s="10" t="n">
        <x:v>40000</x:v>
      </x:c>
      <x:c r="G193" s="8" t="n">
        <x:f>INDEX('Órdenes'!$B$7:$B$334,MATCH(A193,'Órdenes'!$A$7:$A$334,0))</x:f>
        <x:v>46080</x:v>
      </x:c>
      <x:c r="H193" s="11" t="n">
        <x:f>DATE(YEAR(G193),MONTH(G193),1)</x:f>
        <x:v>46054</x:v>
      </x:c>
    </x:row>
    <x:row r="194" ht="23" customHeight="1">
      <x:c r="A194" s="2" t="str">
        <x:v>SIM-202602-031</x:v>
      </x:c>
      <x:c r="B194" s="2" t="str">
        <x:v>Gaseosas</x:v>
      </x:c>
      <x:c r="C194" s="2" t="str">
        <x:v>Coca-Cola</x:v>
      </x:c>
      <x:c r="D194" s="2" t="n">
        <x:v>1</x:v>
      </x:c>
      <x:c r="E194" s="10" t="n">
        <x:v>5000</x:v>
      </x:c>
      <x:c r="F194" s="10" t="n">
        <x:v>5000</x:v>
      </x:c>
      <x:c r="G194" s="8" t="n">
        <x:f>INDEX('Órdenes'!$B$7:$B$334,MATCH(A194,'Órdenes'!$A$7:$A$334,0))</x:f>
        <x:v>46080</x:v>
      </x:c>
      <x:c r="H194" s="11" t="n">
        <x:f>DATE(YEAR(G194),MONTH(G194),1)</x:f>
        <x:v>46054</x:v>
      </x:c>
    </x:row>
    <x:row r="195" ht="23" customHeight="1">
      <x:c r="A195" s="2" t="str">
        <x:v>SIM-202602-031</x:v>
      </x:c>
      <x:c r="B195" s="2" t="str">
        <x:v>Gaseosas</x:v>
      </x:c>
      <x:c r="C195" s="2" t="str">
        <x:v>Sprite</x:v>
      </x:c>
      <x:c r="D195" s="2" t="n">
        <x:v>1</x:v>
      </x:c>
      <x:c r="E195" s="10" t="n">
        <x:v>5000</x:v>
      </x:c>
      <x:c r="F195" s="10" t="n">
        <x:v>5000</x:v>
      </x:c>
      <x:c r="G195" s="8" t="n">
        <x:f>INDEX('Órdenes'!$B$7:$B$334,MATCH(A195,'Órdenes'!$A$7:$A$334,0))</x:f>
        <x:v>46080</x:v>
      </x:c>
      <x:c r="H195" s="11" t="n">
        <x:f>DATE(YEAR(G195),MONTH(G195),1)</x:f>
        <x:v>46054</x:v>
      </x:c>
    </x:row>
    <x:row r="196" ht="23" customHeight="1">
      <x:c r="A196" s="2" t="str">
        <x:v>SIM-202602-032</x:v>
      </x:c>
      <x:c r="B196" s="2" t="str">
        <x:v>Perro caliente</x:v>
      </x:c>
      <x:c r="C196" s="2" t="str"/>
      <x:c r="D196" s="2" t="n">
        <x:v>2</x:v>
      </x:c>
      <x:c r="E196" s="10" t="n">
        <x:v>13000</x:v>
      </x:c>
      <x:c r="F196" s="10" t="n">
        <x:v>26000</x:v>
      </x:c>
      <x:c r="G196" s="8" t="n">
        <x:f>INDEX('Órdenes'!$B$7:$B$334,MATCH(A196,'Órdenes'!$A$7:$A$334,0))</x:f>
        <x:v>46080</x:v>
      </x:c>
      <x:c r="H196" s="11" t="n">
        <x:f>DATE(YEAR(G196),MONTH(G196),1)</x:f>
        <x:v>46054</x:v>
      </x:c>
    </x:row>
    <x:row r="197" ht="23" customHeight="1">
      <x:c r="A197" s="2" t="str">
        <x:v>SIM-202602-032</x:v>
      </x:c>
      <x:c r="B197" s="2" t="str">
        <x:v>Gaseosas</x:v>
      </x:c>
      <x:c r="C197" s="2" t="str">
        <x:v>Coca-Cola</x:v>
      </x:c>
      <x:c r="D197" s="2" t="n">
        <x:v>1</x:v>
      </x:c>
      <x:c r="E197" s="10" t="n">
        <x:v>5000</x:v>
      </x:c>
      <x:c r="F197" s="10" t="n">
        <x:v>5000</x:v>
      </x:c>
      <x:c r="G197" s="8" t="n">
        <x:f>INDEX('Órdenes'!$B$7:$B$334,MATCH(A197,'Órdenes'!$A$7:$A$334,0))</x:f>
        <x:v>46080</x:v>
      </x:c>
      <x:c r="H197" s="11" t="n">
        <x:f>DATE(YEAR(G197),MONTH(G197),1)</x:f>
        <x:v>46054</x:v>
      </x:c>
    </x:row>
    <x:row r="198" ht="23" customHeight="1">
      <x:c r="A198" s="2" t="str">
        <x:v>SIM-202602-033</x:v>
      </x:c>
      <x:c r="B198" s="2" t="str">
        <x:v>Hamburguesa Clásica</x:v>
      </x:c>
      <x:c r="C198" s="2" t="str"/>
      <x:c r="D198" s="2" t="n">
        <x:v>1</x:v>
      </x:c>
      <x:c r="E198" s="10" t="n">
        <x:v>15000</x:v>
      </x:c>
      <x:c r="F198" s="10" t="n">
        <x:v>15000</x:v>
      </x:c>
      <x:c r="G198" s="8" t="n">
        <x:f>INDEX('Órdenes'!$B$7:$B$334,MATCH(A198,'Órdenes'!$A$7:$A$334,0))</x:f>
        <x:v>46081</x:v>
      </x:c>
      <x:c r="H198" s="11" t="n">
        <x:f>DATE(YEAR(G198),MONTH(G198),1)</x:f>
        <x:v>46054</x:v>
      </x:c>
    </x:row>
    <x:row r="199" ht="23" customHeight="1">
      <x:c r="A199" s="2" t="str">
        <x:v>SIM-202602-033</x:v>
      </x:c>
      <x:c r="B199" s="2" t="str">
        <x:v>Perro caliente</x:v>
      </x:c>
      <x:c r="C199" s="2" t="str"/>
      <x:c r="D199" s="2" t="n">
        <x:v>1</x:v>
      </x:c>
      <x:c r="E199" s="10" t="n">
        <x:v>13000</x:v>
      </x:c>
      <x:c r="F199" s="10" t="n">
        <x:v>13000</x:v>
      </x:c>
      <x:c r="G199" s="8" t="n">
        <x:f>INDEX('Órdenes'!$B$7:$B$334,MATCH(A199,'Órdenes'!$A$7:$A$334,0))</x:f>
        <x:v>46081</x:v>
      </x:c>
      <x:c r="H199" s="11" t="n">
        <x:f>DATE(YEAR(G199),MONTH(G199),1)</x:f>
        <x:v>46054</x:v>
      </x:c>
    </x:row>
    <x:row r="200" ht="23" customHeight="1">
      <x:c r="A200" s="2" t="str">
        <x:v>SIM-202602-033</x:v>
      </x:c>
      <x:c r="B200" s="2" t="str">
        <x:v>Gaseosas</x:v>
      </x:c>
      <x:c r="C200" s="2" t="str">
        <x:v>Coca-Cola</x:v>
      </x:c>
      <x:c r="D200" s="2" t="n">
        <x:v>2</x:v>
      </x:c>
      <x:c r="E200" s="10" t="n">
        <x:v>5000</x:v>
      </x:c>
      <x:c r="F200" s="10" t="n">
        <x:v>10000</x:v>
      </x:c>
      <x:c r="G200" s="8" t="n">
        <x:f>INDEX('Órdenes'!$B$7:$B$334,MATCH(A200,'Órdenes'!$A$7:$A$334,0))</x:f>
        <x:v>46081</x:v>
      </x:c>
      <x:c r="H200" s="11" t="n">
        <x:f>DATE(YEAR(G200),MONTH(G200),1)</x:f>
        <x:v>46054</x:v>
      </x:c>
    </x:row>
    <x:row r="201" ht="23" customHeight="1">
      <x:c r="A201" s="2" t="str">
        <x:v>SIM-202602-034</x:v>
      </x:c>
      <x:c r="B201" s="2" t="str">
        <x:v>Hamburguesa Clásica</x:v>
      </x:c>
      <x:c r="C201" s="2" t="str"/>
      <x:c r="D201" s="2" t="n">
        <x:v>1</x:v>
      </x:c>
      <x:c r="E201" s="10" t="n">
        <x:v>15000</x:v>
      </x:c>
      <x:c r="F201" s="10" t="n">
        <x:v>15000</x:v>
      </x:c>
      <x:c r="G201" s="8" t="n">
        <x:f>INDEX('Órdenes'!$B$7:$B$334,MATCH(A201,'Órdenes'!$A$7:$A$334,0))</x:f>
        <x:v>46081</x:v>
      </x:c>
      <x:c r="H201" s="11" t="n">
        <x:f>DATE(YEAR(G201),MONTH(G201),1)</x:f>
        <x:v>46054</x:v>
      </x:c>
    </x:row>
    <x:row r="202" ht="23" customHeight="1">
      <x:c r="A202" s="2" t="str">
        <x:v>SIM-202602-034</x:v>
      </x:c>
      <x:c r="B202" s="2" t="str">
        <x:v>Gaseosas</x:v>
      </x:c>
      <x:c r="C202" s="2" t="str">
        <x:v>Coca-Cola</x:v>
      </x:c>
      <x:c r="D202" s="2" t="n">
        <x:v>1</x:v>
      </x:c>
      <x:c r="E202" s="10" t="n">
        <x:v>5000</x:v>
      </x:c>
      <x:c r="F202" s="10" t="n">
        <x:v>5000</x:v>
      </x:c>
      <x:c r="G202" s="8" t="n">
        <x:f>INDEX('Órdenes'!$B$7:$B$334,MATCH(A202,'Órdenes'!$A$7:$A$334,0))</x:f>
        <x:v>46081</x:v>
      </x:c>
      <x:c r="H202" s="11" t="n">
        <x:f>DATE(YEAR(G202),MONTH(G202),1)</x:f>
        <x:v>46054</x:v>
      </x:c>
    </x:row>
    <x:row r="203" ht="23" customHeight="1">
      <x:c r="A203" s="2" t="str">
        <x:v>SIM-202603-001</x:v>
      </x:c>
      <x:c r="B203" s="2" t="str">
        <x:v>Hamburguesa especial</x:v>
      </x:c>
      <x:c r="C203" s="2" t="str"/>
      <x:c r="D203" s="2" t="n">
        <x:v>1</x:v>
      </x:c>
      <x:c r="E203" s="10" t="n">
        <x:v>20000</x:v>
      </x:c>
      <x:c r="F203" s="10" t="n">
        <x:v>20000</x:v>
      </x:c>
      <x:c r="G203" s="8" t="n">
        <x:f>INDEX('Órdenes'!$B$7:$B$334,MATCH(A203,'Órdenes'!$A$7:$A$334,0))</x:f>
        <x:v>46082</x:v>
      </x:c>
      <x:c r="H203" s="11" t="n">
        <x:f>DATE(YEAR(G203),MONTH(G203),1)</x:f>
        <x:v>46082</x:v>
      </x:c>
    </x:row>
    <x:row r="204" ht="23" customHeight="1">
      <x:c r="A204" s="2" t="str">
        <x:v>SIM-202603-001</x:v>
      </x:c>
      <x:c r="B204" s="2" t="str">
        <x:v>Gaseosas</x:v>
      </x:c>
      <x:c r="C204" s="2" t="str">
        <x:v>Sprite</x:v>
      </x:c>
      <x:c r="D204" s="2" t="n">
        <x:v>1</x:v>
      </x:c>
      <x:c r="E204" s="10" t="n">
        <x:v>5000</x:v>
      </x:c>
      <x:c r="F204" s="10" t="n">
        <x:v>5000</x:v>
      </x:c>
      <x:c r="G204" s="8" t="n">
        <x:f>INDEX('Órdenes'!$B$7:$B$334,MATCH(A204,'Órdenes'!$A$7:$A$334,0))</x:f>
        <x:v>46082</x:v>
      </x:c>
      <x:c r="H204" s="11" t="n">
        <x:f>DATE(YEAR(G204),MONTH(G204),1)</x:f>
        <x:v>46082</x:v>
      </x:c>
    </x:row>
    <x:row r="205" ht="23" customHeight="1">
      <x:c r="A205" s="2" t="str">
        <x:v>SIM-202603-002</x:v>
      </x:c>
      <x:c r="B205" s="2" t="str">
        <x:v>Hamburguesa Clásica</x:v>
      </x:c>
      <x:c r="C205" s="2" t="str"/>
      <x:c r="D205" s="2" t="n">
        <x:v>1</x:v>
      </x:c>
      <x:c r="E205" s="10" t="n">
        <x:v>15000</x:v>
      </x:c>
      <x:c r="F205" s="10" t="n">
        <x:v>15000</x:v>
      </x:c>
      <x:c r="G205" s="8" t="n">
        <x:f>INDEX('Órdenes'!$B$7:$B$334,MATCH(A205,'Órdenes'!$A$7:$A$334,0))</x:f>
        <x:v>46082</x:v>
      </x:c>
      <x:c r="H205" s="11" t="n">
        <x:f>DATE(YEAR(G205),MONTH(G205),1)</x:f>
        <x:v>46082</x:v>
      </x:c>
    </x:row>
    <x:row r="206" ht="23" customHeight="1">
      <x:c r="A206" s="2" t="str">
        <x:v>SIM-202603-002</x:v>
      </x:c>
      <x:c r="B206" s="2" t="str">
        <x:v>Gaseosas</x:v>
      </x:c>
      <x:c r="C206" s="2" t="str">
        <x:v>Coca-Cola</x:v>
      </x:c>
      <x:c r="D206" s="2" t="n">
        <x:v>1</x:v>
      </x:c>
      <x:c r="E206" s="10" t="n">
        <x:v>5000</x:v>
      </x:c>
      <x:c r="F206" s="10" t="n">
        <x:v>5000</x:v>
      </x:c>
      <x:c r="G206" s="8" t="n">
        <x:f>INDEX('Órdenes'!$B$7:$B$334,MATCH(A206,'Órdenes'!$A$7:$A$334,0))</x:f>
        <x:v>46082</x:v>
      </x:c>
      <x:c r="H206" s="11" t="n">
        <x:f>DATE(YEAR(G206),MONTH(G206),1)</x:f>
        <x:v>46082</x:v>
      </x:c>
    </x:row>
    <x:row r="207" ht="23" customHeight="1">
      <x:c r="A207" s="2" t="str">
        <x:v>SIM-202603-003</x:v>
      </x:c>
      <x:c r="B207" s="2" t="str">
        <x:v>Hamburguesa Clásica</x:v>
      </x:c>
      <x:c r="C207" s="2" t="str"/>
      <x:c r="D207" s="2" t="n">
        <x:v>1</x:v>
      </x:c>
      <x:c r="E207" s="10" t="n">
        <x:v>15000</x:v>
      </x:c>
      <x:c r="F207" s="10" t="n">
        <x:v>15000</x:v>
      </x:c>
      <x:c r="G207" s="8" t="n">
        <x:f>INDEX('Órdenes'!$B$7:$B$334,MATCH(A207,'Órdenes'!$A$7:$A$334,0))</x:f>
        <x:v>46082</x:v>
      </x:c>
      <x:c r="H207" s="11" t="n">
        <x:f>DATE(YEAR(G207),MONTH(G207),1)</x:f>
        <x:v>46082</x:v>
      </x:c>
    </x:row>
    <x:row r="208" ht="23" customHeight="1">
      <x:c r="A208" s="2" t="str">
        <x:v>SIM-202603-003</x:v>
      </x:c>
      <x:c r="B208" s="2" t="str">
        <x:v>Gaseosas</x:v>
      </x:c>
      <x:c r="C208" s="2" t="str">
        <x:v>Sprite</x:v>
      </x:c>
      <x:c r="D208" s="2" t="n">
        <x:v>1</x:v>
      </x:c>
      <x:c r="E208" s="10" t="n">
        <x:v>5000</x:v>
      </x:c>
      <x:c r="F208" s="10" t="n">
        <x:v>5000</x:v>
      </x:c>
      <x:c r="G208" s="8" t="n">
        <x:f>INDEX('Órdenes'!$B$7:$B$334,MATCH(A208,'Órdenes'!$A$7:$A$334,0))</x:f>
        <x:v>46082</x:v>
      </x:c>
      <x:c r="H208" s="11" t="n">
        <x:f>DATE(YEAR(G208),MONTH(G208),1)</x:f>
        <x:v>46082</x:v>
      </x:c>
    </x:row>
    <x:row r="209" ht="23" customHeight="1">
      <x:c r="A209" s="2" t="str">
        <x:v>SIM-202603-004</x:v>
      </x:c>
      <x:c r="B209" s="2" t="str">
        <x:v>Hamburguesa Clásica</x:v>
      </x:c>
      <x:c r="C209" s="2" t="str"/>
      <x:c r="D209" s="2" t="n">
        <x:v>3</x:v>
      </x:c>
      <x:c r="E209" s="10" t="n">
        <x:v>15000</x:v>
      </x:c>
      <x:c r="F209" s="10" t="n">
        <x:v>45000</x:v>
      </x:c>
      <x:c r="G209" s="8" t="n">
        <x:f>INDEX('Órdenes'!$B$7:$B$334,MATCH(A209,'Órdenes'!$A$7:$A$334,0))</x:f>
        <x:v>46082</x:v>
      </x:c>
      <x:c r="H209" s="11" t="n">
        <x:f>DATE(YEAR(G209),MONTH(G209),1)</x:f>
        <x:v>46082</x:v>
      </x:c>
    </x:row>
    <x:row r="210" ht="23" customHeight="1">
      <x:c r="A210" s="2" t="str">
        <x:v>SIM-202603-004</x:v>
      </x:c>
      <x:c r="B210" s="2" t="str">
        <x:v>Hamburguesa especial</x:v>
      </x:c>
      <x:c r="C210" s="2" t="str"/>
      <x:c r="D210" s="2" t="n">
        <x:v>1</x:v>
      </x:c>
      <x:c r="E210" s="10" t="n">
        <x:v>20000</x:v>
      </x:c>
      <x:c r="F210" s="10" t="n">
        <x:v>20000</x:v>
      </x:c>
      <x:c r="G210" s="8" t="n">
        <x:f>INDEX('Órdenes'!$B$7:$B$334,MATCH(A210,'Órdenes'!$A$7:$A$334,0))</x:f>
        <x:v>46082</x:v>
      </x:c>
      <x:c r="H210" s="11" t="n">
        <x:f>DATE(YEAR(G210),MONTH(G210),1)</x:f>
        <x:v>46082</x:v>
      </x:c>
    </x:row>
    <x:row r="211" ht="23" customHeight="1">
      <x:c r="A211" s="2" t="str">
        <x:v>SIM-202603-004</x:v>
      </x:c>
      <x:c r="B211" s="2" t="str">
        <x:v>Gaseosas</x:v>
      </x:c>
      <x:c r="C211" s="2" t="str">
        <x:v>Coca-Cola</x:v>
      </x:c>
      <x:c r="D211" s="2" t="n">
        <x:v>2</x:v>
      </x:c>
      <x:c r="E211" s="10" t="n">
        <x:v>5000</x:v>
      </x:c>
      <x:c r="F211" s="10" t="n">
        <x:v>10000</x:v>
      </x:c>
      <x:c r="G211" s="8" t="n">
        <x:f>INDEX('Órdenes'!$B$7:$B$334,MATCH(A211,'Órdenes'!$A$7:$A$334,0))</x:f>
        <x:v>46082</x:v>
      </x:c>
      <x:c r="H211" s="11" t="n">
        <x:f>DATE(YEAR(G211),MONTH(G211),1)</x:f>
        <x:v>46082</x:v>
      </x:c>
    </x:row>
    <x:row r="212" ht="23" customHeight="1">
      <x:c r="A212" s="2" t="str">
        <x:v>SIM-202603-004</x:v>
      </x:c>
      <x:c r="B212" s="2" t="str">
        <x:v>Gaseosas</x:v>
      </x:c>
      <x:c r="C212" s="2" t="str">
        <x:v>Sprite</x:v>
      </x:c>
      <x:c r="D212" s="2" t="n">
        <x:v>1</x:v>
      </x:c>
      <x:c r="E212" s="10" t="n">
        <x:v>5000</x:v>
      </x:c>
      <x:c r="F212" s="10" t="n">
        <x:v>5000</x:v>
      </x:c>
      <x:c r="G212" s="8" t="n">
        <x:f>INDEX('Órdenes'!$B$7:$B$334,MATCH(A212,'Órdenes'!$A$7:$A$334,0))</x:f>
        <x:v>46082</x:v>
      </x:c>
      <x:c r="H212" s="11" t="n">
        <x:f>DATE(YEAR(G212),MONTH(G212),1)</x:f>
        <x:v>46082</x:v>
      </x:c>
    </x:row>
    <x:row r="213" ht="23" customHeight="1">
      <x:c r="A213" s="2" t="str">
        <x:v>SIM-202603-005</x:v>
      </x:c>
      <x:c r="B213" s="2" t="str">
        <x:v>Hamburguesa Clásica</x:v>
      </x:c>
      <x:c r="C213" s="2" t="str"/>
      <x:c r="D213" s="2" t="n">
        <x:v>2</x:v>
      </x:c>
      <x:c r="E213" s="10" t="n">
        <x:v>15000</x:v>
      </x:c>
      <x:c r="F213" s="10" t="n">
        <x:v>30000</x:v>
      </x:c>
      <x:c r="G213" s="8" t="n">
        <x:f>INDEX('Órdenes'!$B$7:$B$334,MATCH(A213,'Órdenes'!$A$7:$A$334,0))</x:f>
        <x:v>46082</x:v>
      </x:c>
      <x:c r="H213" s="11" t="n">
        <x:f>DATE(YEAR(G213),MONTH(G213),1)</x:f>
        <x:v>46082</x:v>
      </x:c>
    </x:row>
    <x:row r="214" ht="23" customHeight="1">
      <x:c r="A214" s="2" t="str">
        <x:v>SIM-202603-005</x:v>
      </x:c>
      <x:c r="B214" s="2" t="str">
        <x:v>Hamburguesa especial</x:v>
      </x:c>
      <x:c r="C214" s="2" t="str"/>
      <x:c r="D214" s="2" t="n">
        <x:v>1</x:v>
      </x:c>
      <x:c r="E214" s="10" t="n">
        <x:v>20000</x:v>
      </x:c>
      <x:c r="F214" s="10" t="n">
        <x:v>20000</x:v>
      </x:c>
      <x:c r="G214" s="8" t="n">
        <x:f>INDEX('Órdenes'!$B$7:$B$334,MATCH(A214,'Órdenes'!$A$7:$A$334,0))</x:f>
        <x:v>46082</x:v>
      </x:c>
      <x:c r="H214" s="11" t="n">
        <x:f>DATE(YEAR(G214),MONTH(G214),1)</x:f>
        <x:v>46082</x:v>
      </x:c>
    </x:row>
    <x:row r="215" ht="23" customHeight="1">
      <x:c r="A215" s="2" t="str">
        <x:v>SIM-202603-005</x:v>
      </x:c>
      <x:c r="B215" s="2" t="str">
        <x:v>Gaseosas</x:v>
      </x:c>
      <x:c r="C215" s="2" t="str">
        <x:v>Coca-Cola</x:v>
      </x:c>
      <x:c r="D215" s="2" t="n">
        <x:v>3</x:v>
      </x:c>
      <x:c r="E215" s="10" t="n">
        <x:v>5000</x:v>
      </x:c>
      <x:c r="F215" s="10" t="n">
        <x:v>15000</x:v>
      </x:c>
      <x:c r="G215" s="8" t="n">
        <x:f>INDEX('Órdenes'!$B$7:$B$334,MATCH(A215,'Órdenes'!$A$7:$A$334,0))</x:f>
        <x:v>46082</x:v>
      </x:c>
      <x:c r="H215" s="11" t="n">
        <x:f>DATE(YEAR(G215),MONTH(G215),1)</x:f>
        <x:v>46082</x:v>
      </x:c>
    </x:row>
    <x:row r="216" ht="23" customHeight="1">
      <x:c r="A216" s="2" t="str">
        <x:v>SIM-202603-006</x:v>
      </x:c>
      <x:c r="B216" s="2" t="str">
        <x:v>Hamburguesa Clásica</x:v>
      </x:c>
      <x:c r="C216" s="2" t="str"/>
      <x:c r="D216" s="2" t="n">
        <x:v>1</x:v>
      </x:c>
      <x:c r="E216" s="10" t="n">
        <x:v>15000</x:v>
      </x:c>
      <x:c r="F216" s="10" t="n">
        <x:v>15000</x:v>
      </x:c>
      <x:c r="G216" s="8" t="n">
        <x:f>INDEX('Órdenes'!$B$7:$B$334,MATCH(A216,'Órdenes'!$A$7:$A$334,0))</x:f>
        <x:v>46082</x:v>
      </x:c>
      <x:c r="H216" s="11" t="n">
        <x:f>DATE(YEAR(G216),MONTH(G216),1)</x:f>
        <x:v>46082</x:v>
      </x:c>
    </x:row>
    <x:row r="217" ht="23" customHeight="1">
      <x:c r="A217" s="2" t="str">
        <x:v>SIM-202603-006</x:v>
      </x:c>
      <x:c r="B217" s="2" t="str">
        <x:v>Gaseosas</x:v>
      </x:c>
      <x:c r="C217" s="2" t="str">
        <x:v>Coca-Cola</x:v>
      </x:c>
      <x:c r="D217" s="2" t="n">
        <x:v>1</x:v>
      </x:c>
      <x:c r="E217" s="10" t="n">
        <x:v>5000</x:v>
      </x:c>
      <x:c r="F217" s="10" t="n">
        <x:v>5000</x:v>
      </x:c>
      <x:c r="G217" s="8" t="n">
        <x:f>INDEX('Órdenes'!$B$7:$B$334,MATCH(A217,'Órdenes'!$A$7:$A$334,0))</x:f>
        <x:v>46082</x:v>
      </x:c>
      <x:c r="H217" s="11" t="n">
        <x:f>DATE(YEAR(G217),MONTH(G217),1)</x:f>
        <x:v>46082</x:v>
      </x:c>
    </x:row>
    <x:row r="218" ht="23" customHeight="1">
      <x:c r="A218" s="2" t="str">
        <x:v>SIM-202603-007</x:v>
      </x:c>
      <x:c r="B218" s="2" t="str">
        <x:v>Hamburguesa Clásica</x:v>
      </x:c>
      <x:c r="C218" s="2" t="str"/>
      <x:c r="D218" s="2" t="n">
        <x:v>1</x:v>
      </x:c>
      <x:c r="E218" s="10" t="n">
        <x:v>15000</x:v>
      </x:c>
      <x:c r="F218" s="10" t="n">
        <x:v>15000</x:v>
      </x:c>
      <x:c r="G218" s="8" t="n">
        <x:f>INDEX('Órdenes'!$B$7:$B$334,MATCH(A218,'Órdenes'!$A$7:$A$334,0))</x:f>
        <x:v>46085</x:v>
      </x:c>
      <x:c r="H218" s="11" t="n">
        <x:f>DATE(YEAR(G218),MONTH(G218),1)</x:f>
        <x:v>46082</x:v>
      </x:c>
    </x:row>
    <x:row r="219" ht="23" customHeight="1">
      <x:c r="A219" s="2" t="str">
        <x:v>SIM-202603-007</x:v>
      </x:c>
      <x:c r="B219" s="2" t="str">
        <x:v>Gaseosas</x:v>
      </x:c>
      <x:c r="C219" s="2" t="str">
        <x:v>Coca-Cola</x:v>
      </x:c>
      <x:c r="D219" s="2" t="n">
        <x:v>1</x:v>
      </x:c>
      <x:c r="E219" s="10" t="n">
        <x:v>5000</x:v>
      </x:c>
      <x:c r="F219" s="10" t="n">
        <x:v>5000</x:v>
      </x:c>
      <x:c r="G219" s="8" t="n">
        <x:f>INDEX('Órdenes'!$B$7:$B$334,MATCH(A219,'Órdenes'!$A$7:$A$334,0))</x:f>
        <x:v>46085</x:v>
      </x:c>
      <x:c r="H219" s="11" t="n">
        <x:f>DATE(YEAR(G219),MONTH(G219),1)</x:f>
        <x:v>46082</x:v>
      </x:c>
    </x:row>
    <x:row r="220" ht="23" customHeight="1">
      <x:c r="A220" s="2" t="str">
        <x:v>SIM-202603-008</x:v>
      </x:c>
      <x:c r="B220" s="2" t="str">
        <x:v>Hamburguesa Clásica</x:v>
      </x:c>
      <x:c r="C220" s="2" t="str"/>
      <x:c r="D220" s="2" t="n">
        <x:v>1</x:v>
      </x:c>
      <x:c r="E220" s="10" t="n">
        <x:v>15000</x:v>
      </x:c>
      <x:c r="F220" s="10" t="n">
        <x:v>15000</x:v>
      </x:c>
      <x:c r="G220" s="8" t="n">
        <x:f>INDEX('Órdenes'!$B$7:$B$334,MATCH(A220,'Órdenes'!$A$7:$A$334,0))</x:f>
        <x:v>46085</x:v>
      </x:c>
      <x:c r="H220" s="11" t="n">
        <x:f>DATE(YEAR(G220),MONTH(G220),1)</x:f>
        <x:v>46082</x:v>
      </x:c>
    </x:row>
    <x:row r="221" ht="23" customHeight="1">
      <x:c r="A221" s="2" t="str">
        <x:v>SIM-202603-008</x:v>
      </x:c>
      <x:c r="B221" s="2" t="str">
        <x:v>Hamburguesa especial</x:v>
      </x:c>
      <x:c r="C221" s="2" t="str"/>
      <x:c r="D221" s="2" t="n">
        <x:v>1</x:v>
      </x:c>
      <x:c r="E221" s="10" t="n">
        <x:v>20000</x:v>
      </x:c>
      <x:c r="F221" s="10" t="n">
        <x:v>20000</x:v>
      </x:c>
      <x:c r="G221" s="8" t="n">
        <x:f>INDEX('Órdenes'!$B$7:$B$334,MATCH(A221,'Órdenes'!$A$7:$A$334,0))</x:f>
        <x:v>46085</x:v>
      </x:c>
      <x:c r="H221" s="11" t="n">
        <x:f>DATE(YEAR(G221),MONTH(G221),1)</x:f>
        <x:v>46082</x:v>
      </x:c>
    </x:row>
    <x:row r="222" ht="23" customHeight="1">
      <x:c r="A222" s="2" t="str">
        <x:v>SIM-202603-008</x:v>
      </x:c>
      <x:c r="B222" s="2" t="str">
        <x:v>Gaseosas</x:v>
      </x:c>
      <x:c r="C222" s="2" t="str">
        <x:v>Coca-Cola</x:v>
      </x:c>
      <x:c r="D222" s="2" t="n">
        <x:v>2</x:v>
      </x:c>
      <x:c r="E222" s="10" t="n">
        <x:v>5000</x:v>
      </x:c>
      <x:c r="F222" s="10" t="n">
        <x:v>10000</x:v>
      </x:c>
      <x:c r="G222" s="8" t="n">
        <x:f>INDEX('Órdenes'!$B$7:$B$334,MATCH(A222,'Órdenes'!$A$7:$A$334,0))</x:f>
        <x:v>46085</x:v>
      </x:c>
      <x:c r="H222" s="11" t="n">
        <x:f>DATE(YEAR(G222),MONTH(G222),1)</x:f>
        <x:v>46082</x:v>
      </x:c>
    </x:row>
    <x:row r="223" ht="23" customHeight="1">
      <x:c r="A223" s="2" t="str">
        <x:v>SIM-202603-009</x:v>
      </x:c>
      <x:c r="B223" s="2" t="str">
        <x:v>Perro caliente</x:v>
      </x:c>
      <x:c r="C223" s="2" t="str"/>
      <x:c r="D223" s="2" t="n">
        <x:v>1</x:v>
      </x:c>
      <x:c r="E223" s="10" t="n">
        <x:v>13000</x:v>
      </x:c>
      <x:c r="F223" s="10" t="n">
        <x:v>13000</x:v>
      </x:c>
      <x:c r="G223" s="8" t="n">
        <x:f>INDEX('Órdenes'!$B$7:$B$334,MATCH(A223,'Órdenes'!$A$7:$A$334,0))</x:f>
        <x:v>46085</x:v>
      </x:c>
      <x:c r="H223" s="11" t="n">
        <x:f>DATE(YEAR(G223),MONTH(G223),1)</x:f>
        <x:v>46082</x:v>
      </x:c>
    </x:row>
    <x:row r="224" ht="23" customHeight="1">
      <x:c r="A224" s="2" t="str">
        <x:v>SIM-202603-009</x:v>
      </x:c>
      <x:c r="B224" s="2" t="str">
        <x:v>Gaseosas</x:v>
      </x:c>
      <x:c r="C224" s="2" t="str">
        <x:v>Coca-Cola</x:v>
      </x:c>
      <x:c r="D224" s="2" t="n">
        <x:v>1</x:v>
      </x:c>
      <x:c r="E224" s="10" t="n">
        <x:v>5000</x:v>
      </x:c>
      <x:c r="F224" s="10" t="n">
        <x:v>5000</x:v>
      </x:c>
      <x:c r="G224" s="8" t="n">
        <x:f>INDEX('Órdenes'!$B$7:$B$334,MATCH(A224,'Órdenes'!$A$7:$A$334,0))</x:f>
        <x:v>46085</x:v>
      </x:c>
      <x:c r="H224" s="11" t="n">
        <x:f>DATE(YEAR(G224),MONTH(G224),1)</x:f>
        <x:v>46082</x:v>
      </x:c>
    </x:row>
    <x:row r="225" ht="23" customHeight="1">
      <x:c r="A225" s="2" t="str">
        <x:v>SIM-202603-010</x:v>
      </x:c>
      <x:c r="B225" s="2" t="str">
        <x:v>Salchipapas</x:v>
      </x:c>
      <x:c r="C225" s="2" t="str"/>
      <x:c r="D225" s="2" t="n">
        <x:v>1</x:v>
      </x:c>
      <x:c r="E225" s="10" t="n">
        <x:v>12000</x:v>
      </x:c>
      <x:c r="F225" s="10" t="n">
        <x:v>12000</x:v>
      </x:c>
      <x:c r="G225" s="8" t="n">
        <x:f>INDEX('Órdenes'!$B$7:$B$334,MATCH(A225,'Órdenes'!$A$7:$A$334,0))</x:f>
        <x:v>46086</x:v>
      </x:c>
      <x:c r="H225" s="11" t="n">
        <x:f>DATE(YEAR(G225),MONTH(G225),1)</x:f>
        <x:v>46082</x:v>
      </x:c>
    </x:row>
    <x:row r="226" ht="23" customHeight="1">
      <x:c r="A226" s="2" t="str">
        <x:v>SIM-202603-010</x:v>
      </x:c>
      <x:c r="B226" s="2" t="str">
        <x:v>Gaseosas</x:v>
      </x:c>
      <x:c r="C226" s="2" t="str">
        <x:v>Coca-Cola</x:v>
      </x:c>
      <x:c r="D226" s="2" t="n">
        <x:v>1</x:v>
      </x:c>
      <x:c r="E226" s="10" t="n">
        <x:v>5000</x:v>
      </x:c>
      <x:c r="F226" s="10" t="n">
        <x:v>5000</x:v>
      </x:c>
      <x:c r="G226" s="8" t="n">
        <x:f>INDEX('Órdenes'!$B$7:$B$334,MATCH(A226,'Órdenes'!$A$7:$A$334,0))</x:f>
        <x:v>46086</x:v>
      </x:c>
      <x:c r="H226" s="11" t="n">
        <x:f>DATE(YEAR(G226),MONTH(G226),1)</x:f>
        <x:v>46082</x:v>
      </x:c>
    </x:row>
    <x:row r="227" ht="23" customHeight="1">
      <x:c r="A227" s="2" t="str">
        <x:v>SIM-202603-011</x:v>
      </x:c>
      <x:c r="B227" s="2" t="str">
        <x:v>Hamburguesa Clásica</x:v>
      </x:c>
      <x:c r="C227" s="2" t="str"/>
      <x:c r="D227" s="2" t="n">
        <x:v>2</x:v>
      </x:c>
      <x:c r="E227" s="10" t="n">
        <x:v>15000</x:v>
      </x:c>
      <x:c r="F227" s="10" t="n">
        <x:v>30000</x:v>
      </x:c>
      <x:c r="G227" s="8" t="n">
        <x:f>INDEX('Órdenes'!$B$7:$B$334,MATCH(A227,'Órdenes'!$A$7:$A$334,0))</x:f>
        <x:v>46086</x:v>
      </x:c>
      <x:c r="H227" s="11" t="n">
        <x:f>DATE(YEAR(G227),MONTH(G227),1)</x:f>
        <x:v>46082</x:v>
      </x:c>
    </x:row>
    <x:row r="228" ht="23" customHeight="1">
      <x:c r="A228" s="2" t="str">
        <x:v>SIM-202603-011</x:v>
      </x:c>
      <x:c r="B228" s="2" t="str">
        <x:v>Hamburguesa especial</x:v>
      </x:c>
      <x:c r="C228" s="2" t="str"/>
      <x:c r="D228" s="2" t="n">
        <x:v>2</x:v>
      </x:c>
      <x:c r="E228" s="10" t="n">
        <x:v>20000</x:v>
      </x:c>
      <x:c r="F228" s="10" t="n">
        <x:v>40000</x:v>
      </x:c>
      <x:c r="G228" s="8" t="n">
        <x:f>INDEX('Órdenes'!$B$7:$B$334,MATCH(A228,'Órdenes'!$A$7:$A$334,0))</x:f>
        <x:v>46086</x:v>
      </x:c>
      <x:c r="H228" s="11" t="n">
        <x:f>DATE(YEAR(G228),MONTH(G228),1)</x:f>
        <x:v>46082</x:v>
      </x:c>
    </x:row>
    <x:row r="229" ht="23" customHeight="1">
      <x:c r="A229" s="2" t="str">
        <x:v>SIM-202603-011</x:v>
      </x:c>
      <x:c r="B229" s="2" t="str">
        <x:v>Gaseosas</x:v>
      </x:c>
      <x:c r="C229" s="2" t="str">
        <x:v>Coca-Cola</x:v>
      </x:c>
      <x:c r="D229" s="2" t="n">
        <x:v>2</x:v>
      </x:c>
      <x:c r="E229" s="10" t="n">
        <x:v>5000</x:v>
      </x:c>
      <x:c r="F229" s="10" t="n">
        <x:v>10000</x:v>
      </x:c>
      <x:c r="G229" s="8" t="n">
        <x:f>INDEX('Órdenes'!$B$7:$B$334,MATCH(A229,'Órdenes'!$A$7:$A$334,0))</x:f>
        <x:v>46086</x:v>
      </x:c>
      <x:c r="H229" s="11" t="n">
        <x:f>DATE(YEAR(G229),MONTH(G229),1)</x:f>
        <x:v>46082</x:v>
      </x:c>
    </x:row>
    <x:row r="230" ht="23" customHeight="1">
      <x:c r="A230" s="2" t="str">
        <x:v>SIM-202603-011</x:v>
      </x:c>
      <x:c r="B230" s="2" t="str">
        <x:v>Gaseosas</x:v>
      </x:c>
      <x:c r="C230" s="2" t="str">
        <x:v>Sprite</x:v>
      </x:c>
      <x:c r="D230" s="2" t="n">
        <x:v>1</x:v>
      </x:c>
      <x:c r="E230" s="10" t="n">
        <x:v>5000</x:v>
      </x:c>
      <x:c r="F230" s="10" t="n">
        <x:v>5000</x:v>
      </x:c>
      <x:c r="G230" s="8" t="n">
        <x:f>INDEX('Órdenes'!$B$7:$B$334,MATCH(A230,'Órdenes'!$A$7:$A$334,0))</x:f>
        <x:v>46086</x:v>
      </x:c>
      <x:c r="H230" s="11" t="n">
        <x:f>DATE(YEAR(G230),MONTH(G230),1)</x:f>
        <x:v>46082</x:v>
      </x:c>
    </x:row>
    <x:row r="231" ht="23" customHeight="1">
      <x:c r="A231" s="2" t="str">
        <x:v>SIM-202603-012</x:v>
      </x:c>
      <x:c r="B231" s="2" t="str">
        <x:v>Hamburguesa Clásica</x:v>
      </x:c>
      <x:c r="C231" s="2" t="str"/>
      <x:c r="D231" s="2" t="n">
        <x:v>1</x:v>
      </x:c>
      <x:c r="E231" s="10" t="n">
        <x:v>15000</x:v>
      </x:c>
      <x:c r="F231" s="10" t="n">
        <x:v>15000</x:v>
      </x:c>
      <x:c r="G231" s="8" t="n">
        <x:f>INDEX('Órdenes'!$B$7:$B$334,MATCH(A231,'Órdenes'!$A$7:$A$334,0))</x:f>
        <x:v>46087</x:v>
      </x:c>
      <x:c r="H231" s="11" t="n">
        <x:f>DATE(YEAR(G231),MONTH(G231),1)</x:f>
        <x:v>46082</x:v>
      </x:c>
    </x:row>
    <x:row r="232" ht="23" customHeight="1">
      <x:c r="A232" s="2" t="str">
        <x:v>SIM-202603-012</x:v>
      </x:c>
      <x:c r="B232" s="2" t="str">
        <x:v>Salchipapas</x:v>
      </x:c>
      <x:c r="C232" s="2" t="str"/>
      <x:c r="D232" s="2" t="n">
        <x:v>1</x:v>
      </x:c>
      <x:c r="E232" s="10" t="n">
        <x:v>12000</x:v>
      </x:c>
      <x:c r="F232" s="10" t="n">
        <x:v>12000</x:v>
      </x:c>
      <x:c r="G232" s="8" t="n">
        <x:f>INDEX('Órdenes'!$B$7:$B$334,MATCH(A232,'Órdenes'!$A$7:$A$334,0))</x:f>
        <x:v>46087</x:v>
      </x:c>
      <x:c r="H232" s="11" t="n">
        <x:f>DATE(YEAR(G232),MONTH(G232),1)</x:f>
        <x:v>46082</x:v>
      </x:c>
    </x:row>
    <x:row r="233" ht="23" customHeight="1">
      <x:c r="A233" s="2" t="str">
        <x:v>SIM-202603-012</x:v>
      </x:c>
      <x:c r="B233" s="2" t="str">
        <x:v>Gaseosas</x:v>
      </x:c>
      <x:c r="C233" s="2" t="str">
        <x:v>Coca-Cola</x:v>
      </x:c>
      <x:c r="D233" s="2" t="n">
        <x:v>1</x:v>
      </x:c>
      <x:c r="E233" s="10" t="n">
        <x:v>5000</x:v>
      </x:c>
      <x:c r="F233" s="10" t="n">
        <x:v>5000</x:v>
      </x:c>
      <x:c r="G233" s="8" t="n">
        <x:f>INDEX('Órdenes'!$B$7:$B$334,MATCH(A233,'Órdenes'!$A$7:$A$334,0))</x:f>
        <x:v>46087</x:v>
      </x:c>
      <x:c r="H233" s="11" t="n">
        <x:f>DATE(YEAR(G233),MONTH(G233),1)</x:f>
        <x:v>46082</x:v>
      </x:c>
    </x:row>
    <x:row r="234" ht="23" customHeight="1">
      <x:c r="A234" s="2" t="str">
        <x:v>SIM-202603-012</x:v>
      </x:c>
      <x:c r="B234" s="2" t="str">
        <x:v>Gaseosas</x:v>
      </x:c>
      <x:c r="C234" s="2" t="str">
        <x:v>Sprite</x:v>
      </x:c>
      <x:c r="D234" s="2" t="n">
        <x:v>1</x:v>
      </x:c>
      <x:c r="E234" s="10" t="n">
        <x:v>5000</x:v>
      </x:c>
      <x:c r="F234" s="10" t="n">
        <x:v>5000</x:v>
      </x:c>
      <x:c r="G234" s="8" t="n">
        <x:f>INDEX('Órdenes'!$B$7:$B$334,MATCH(A234,'Órdenes'!$A$7:$A$334,0))</x:f>
        <x:v>46087</x:v>
      </x:c>
      <x:c r="H234" s="11" t="n">
        <x:f>DATE(YEAR(G234),MONTH(G234),1)</x:f>
        <x:v>46082</x:v>
      </x:c>
    </x:row>
    <x:row r="235" ht="23" customHeight="1">
      <x:c r="A235" s="2" t="str">
        <x:v>SIM-202603-013</x:v>
      </x:c>
      <x:c r="B235" s="2" t="str">
        <x:v>Hamburguesa Clásica</x:v>
      </x:c>
      <x:c r="C235" s="2" t="str"/>
      <x:c r="D235" s="2" t="n">
        <x:v>1</x:v>
      </x:c>
      <x:c r="E235" s="10" t="n">
        <x:v>15000</x:v>
      </x:c>
      <x:c r="F235" s="10" t="n">
        <x:v>15000</x:v>
      </x:c>
      <x:c r="G235" s="8" t="n">
        <x:f>INDEX('Órdenes'!$B$7:$B$334,MATCH(A235,'Órdenes'!$A$7:$A$334,0))</x:f>
        <x:v>46087</x:v>
      </x:c>
      <x:c r="H235" s="11" t="n">
        <x:f>DATE(YEAR(G235),MONTH(G235),1)</x:f>
        <x:v>46082</x:v>
      </x:c>
    </x:row>
    <x:row r="236" ht="23" customHeight="1">
      <x:c r="A236" s="2" t="str">
        <x:v>SIM-202603-013</x:v>
      </x:c>
      <x:c r="B236" s="2" t="str">
        <x:v>Gaseosas</x:v>
      </x:c>
      <x:c r="C236" s="2" t="str">
        <x:v>Sprite</x:v>
      </x:c>
      <x:c r="D236" s="2" t="n">
        <x:v>1</x:v>
      </x:c>
      <x:c r="E236" s="10" t="n">
        <x:v>5000</x:v>
      </x:c>
      <x:c r="F236" s="10" t="n">
        <x:v>5000</x:v>
      </x:c>
      <x:c r="G236" s="8" t="n">
        <x:f>INDEX('Órdenes'!$B$7:$B$334,MATCH(A236,'Órdenes'!$A$7:$A$334,0))</x:f>
        <x:v>46087</x:v>
      </x:c>
      <x:c r="H236" s="11" t="n">
        <x:f>DATE(YEAR(G236),MONTH(G236),1)</x:f>
        <x:v>46082</x:v>
      </x:c>
    </x:row>
    <x:row r="237" ht="23" customHeight="1">
      <x:c r="A237" s="2" t="str">
        <x:v>SIM-202603-014</x:v>
      </x:c>
      <x:c r="B237" s="2" t="str">
        <x:v>Hamburguesa Clásica</x:v>
      </x:c>
      <x:c r="C237" s="2" t="str"/>
      <x:c r="D237" s="2" t="n">
        <x:v>1</x:v>
      </x:c>
      <x:c r="E237" s="10" t="n">
        <x:v>15000</x:v>
      </x:c>
      <x:c r="F237" s="10" t="n">
        <x:v>15000</x:v>
      </x:c>
      <x:c r="G237" s="8" t="n">
        <x:f>INDEX('Órdenes'!$B$7:$B$334,MATCH(A237,'Órdenes'!$A$7:$A$334,0))</x:f>
        <x:v>46088</x:v>
      </x:c>
      <x:c r="H237" s="11" t="n">
        <x:f>DATE(YEAR(G237),MONTH(G237),1)</x:f>
        <x:v>46082</x:v>
      </x:c>
    </x:row>
    <x:row r="238" ht="23" customHeight="1">
      <x:c r="A238" s="2" t="str">
        <x:v>SIM-202603-015</x:v>
      </x:c>
      <x:c r="B238" s="2" t="str">
        <x:v>Hamburguesa especial</x:v>
      </x:c>
      <x:c r="C238" s="2" t="str"/>
      <x:c r="D238" s="2" t="n">
        <x:v>1</x:v>
      </x:c>
      <x:c r="E238" s="10" t="n">
        <x:v>20000</x:v>
      </x:c>
      <x:c r="F238" s="10" t="n">
        <x:v>20000</x:v>
      </x:c>
      <x:c r="G238" s="8" t="n">
        <x:f>INDEX('Órdenes'!$B$7:$B$334,MATCH(A238,'Órdenes'!$A$7:$A$334,0))</x:f>
        <x:v>46088</x:v>
      </x:c>
      <x:c r="H238" s="11" t="n">
        <x:f>DATE(YEAR(G238),MONTH(G238),1)</x:f>
        <x:v>46082</x:v>
      </x:c>
    </x:row>
    <x:row r="239" ht="23" customHeight="1">
      <x:c r="A239" s="2" t="str">
        <x:v>SIM-202603-015</x:v>
      </x:c>
      <x:c r="B239" s="2" t="str">
        <x:v>Gaseosas</x:v>
      </x:c>
      <x:c r="C239" s="2" t="str">
        <x:v>Coca-Cola</x:v>
      </x:c>
      <x:c r="D239" s="2" t="n">
        <x:v>1</x:v>
      </x:c>
      <x:c r="E239" s="10" t="n">
        <x:v>5000</x:v>
      </x:c>
      <x:c r="F239" s="10" t="n">
        <x:v>5000</x:v>
      </x:c>
      <x:c r="G239" s="8" t="n">
        <x:f>INDEX('Órdenes'!$B$7:$B$334,MATCH(A239,'Órdenes'!$A$7:$A$334,0))</x:f>
        <x:v>46088</x:v>
      </x:c>
      <x:c r="H239" s="11" t="n">
        <x:f>DATE(YEAR(G239),MONTH(G239),1)</x:f>
        <x:v>46082</x:v>
      </x:c>
    </x:row>
    <x:row r="240" ht="23" customHeight="1">
      <x:c r="A240" s="2" t="str">
        <x:v>SIM-202603-016</x:v>
      </x:c>
      <x:c r="B240" s="2" t="str">
        <x:v>Salchipapas</x:v>
      </x:c>
      <x:c r="C240" s="2" t="str"/>
      <x:c r="D240" s="2" t="n">
        <x:v>1</x:v>
      </x:c>
      <x:c r="E240" s="10" t="n">
        <x:v>12000</x:v>
      </x:c>
      <x:c r="F240" s="10" t="n">
        <x:v>12000</x:v>
      </x:c>
      <x:c r="G240" s="8" t="n">
        <x:f>INDEX('Órdenes'!$B$7:$B$334,MATCH(A240,'Órdenes'!$A$7:$A$334,0))</x:f>
        <x:v>46088</x:v>
      </x:c>
      <x:c r="H240" s="11" t="n">
        <x:f>DATE(YEAR(G240),MONTH(G240),1)</x:f>
        <x:v>46082</x:v>
      </x:c>
    </x:row>
    <x:row r="241" ht="23" customHeight="1">
      <x:c r="A241" s="2" t="str">
        <x:v>SIM-202603-016</x:v>
      </x:c>
      <x:c r="B241" s="2" t="str">
        <x:v>Gaseosas</x:v>
      </x:c>
      <x:c r="C241" s="2" t="str">
        <x:v>Coca-Cola</x:v>
      </x:c>
      <x:c r="D241" s="2" t="n">
        <x:v>1</x:v>
      </x:c>
      <x:c r="E241" s="10" t="n">
        <x:v>5000</x:v>
      </x:c>
      <x:c r="F241" s="10" t="n">
        <x:v>5000</x:v>
      </x:c>
      <x:c r="G241" s="8" t="n">
        <x:f>INDEX('Órdenes'!$B$7:$B$334,MATCH(A241,'Órdenes'!$A$7:$A$334,0))</x:f>
        <x:v>46088</x:v>
      </x:c>
      <x:c r="H241" s="11" t="n">
        <x:f>DATE(YEAR(G241),MONTH(G241),1)</x:f>
        <x:v>46082</x:v>
      </x:c>
    </x:row>
    <x:row r="242" ht="23" customHeight="1">
      <x:c r="A242" s="2" t="str">
        <x:v>SIM-202603-017</x:v>
      </x:c>
      <x:c r="B242" s="2" t="str">
        <x:v>Hamburguesa Clásica</x:v>
      </x:c>
      <x:c r="C242" s="2" t="str"/>
      <x:c r="D242" s="2" t="n">
        <x:v>1</x:v>
      </x:c>
      <x:c r="E242" s="10" t="n">
        <x:v>15000</x:v>
      </x:c>
      <x:c r="F242" s="10" t="n">
        <x:v>15000</x:v>
      </x:c>
      <x:c r="G242" s="8" t="n">
        <x:f>INDEX('Órdenes'!$B$7:$B$334,MATCH(A242,'Órdenes'!$A$7:$A$334,0))</x:f>
        <x:v>46088</x:v>
      </x:c>
      <x:c r="H242" s="11" t="n">
        <x:f>DATE(YEAR(G242),MONTH(G242),1)</x:f>
        <x:v>46082</x:v>
      </x:c>
    </x:row>
    <x:row r="243" ht="23" customHeight="1">
      <x:c r="A243" s="2" t="str">
        <x:v>SIM-202603-017</x:v>
      </x:c>
      <x:c r="B243" s="2" t="str">
        <x:v>Hamburguesa especial</x:v>
      </x:c>
      <x:c r="C243" s="2" t="str"/>
      <x:c r="D243" s="2" t="n">
        <x:v>2</x:v>
      </x:c>
      <x:c r="E243" s="10" t="n">
        <x:v>20000</x:v>
      </x:c>
      <x:c r="F243" s="10" t="n">
        <x:v>40000</x:v>
      </x:c>
      <x:c r="G243" s="8" t="n">
        <x:f>INDEX('Órdenes'!$B$7:$B$334,MATCH(A243,'Órdenes'!$A$7:$A$334,0))</x:f>
        <x:v>46088</x:v>
      </x:c>
      <x:c r="H243" s="11" t="n">
        <x:f>DATE(YEAR(G243),MONTH(G243),1)</x:f>
        <x:v>46082</x:v>
      </x:c>
    </x:row>
    <x:row r="244" ht="23" customHeight="1">
      <x:c r="A244" s="2" t="str">
        <x:v>SIM-202603-017</x:v>
      </x:c>
      <x:c r="B244" s="2" t="str">
        <x:v>Gaseosas</x:v>
      </x:c>
      <x:c r="C244" s="2" t="str">
        <x:v>Coca-Cola</x:v>
      </x:c>
      <x:c r="D244" s="2" t="n">
        <x:v>3</x:v>
      </x:c>
      <x:c r="E244" s="10" t="n">
        <x:v>5000</x:v>
      </x:c>
      <x:c r="F244" s="10" t="n">
        <x:v>15000</x:v>
      </x:c>
      <x:c r="G244" s="8" t="n">
        <x:f>INDEX('Órdenes'!$B$7:$B$334,MATCH(A244,'Órdenes'!$A$7:$A$334,0))</x:f>
        <x:v>46088</x:v>
      </x:c>
      <x:c r="H244" s="11" t="n">
        <x:f>DATE(YEAR(G244),MONTH(G244),1)</x:f>
        <x:v>46082</x:v>
      </x:c>
    </x:row>
    <x:row r="245" ht="23" customHeight="1">
      <x:c r="A245" s="2" t="str">
        <x:v>SIM-202603-018</x:v>
      </x:c>
      <x:c r="B245" s="2" t="str">
        <x:v>Hamburguesa especial</x:v>
      </x:c>
      <x:c r="C245" s="2" t="str"/>
      <x:c r="D245" s="2" t="n">
        <x:v>2</x:v>
      </x:c>
      <x:c r="E245" s="10" t="n">
        <x:v>20000</x:v>
      </x:c>
      <x:c r="F245" s="10" t="n">
        <x:v>40000</x:v>
      </x:c>
      <x:c r="G245" s="8" t="n">
        <x:f>INDEX('Órdenes'!$B$7:$B$334,MATCH(A245,'Órdenes'!$A$7:$A$334,0))</x:f>
        <x:v>46089</x:v>
      </x:c>
      <x:c r="H245" s="11" t="n">
        <x:f>DATE(YEAR(G245),MONTH(G245),1)</x:f>
        <x:v>46082</x:v>
      </x:c>
    </x:row>
    <x:row r="246" ht="23" customHeight="1">
      <x:c r="A246" s="2" t="str">
        <x:v>SIM-202603-018</x:v>
      </x:c>
      <x:c r="B246" s="2" t="str">
        <x:v>Gaseosas</x:v>
      </x:c>
      <x:c r="C246" s="2" t="str">
        <x:v>Sprite</x:v>
      </x:c>
      <x:c r="D246" s="2" t="n">
        <x:v>1</x:v>
      </x:c>
      <x:c r="E246" s="10" t="n">
        <x:v>5000</x:v>
      </x:c>
      <x:c r="F246" s="10" t="n">
        <x:v>5000</x:v>
      </x:c>
      <x:c r="G246" s="8" t="n">
        <x:f>INDEX('Órdenes'!$B$7:$B$334,MATCH(A246,'Órdenes'!$A$7:$A$334,0))</x:f>
        <x:v>46089</x:v>
      </x:c>
      <x:c r="H246" s="11" t="n">
        <x:f>DATE(YEAR(G246),MONTH(G246),1)</x:f>
        <x:v>46082</x:v>
      </x:c>
    </x:row>
    <x:row r="247" ht="23" customHeight="1">
      <x:c r="A247" s="2" t="str">
        <x:v>SIM-202603-019</x:v>
      </x:c>
      <x:c r="B247" s="2" t="str">
        <x:v>Hamburguesa Clásica</x:v>
      </x:c>
      <x:c r="C247" s="2" t="str"/>
      <x:c r="D247" s="2" t="n">
        <x:v>2</x:v>
      </x:c>
      <x:c r="E247" s="10" t="n">
        <x:v>15000</x:v>
      </x:c>
      <x:c r="F247" s="10" t="n">
        <x:v>30000</x:v>
      </x:c>
      <x:c r="G247" s="8" t="n">
        <x:f>INDEX('Órdenes'!$B$7:$B$334,MATCH(A247,'Órdenes'!$A$7:$A$334,0))</x:f>
        <x:v>46089</x:v>
      </x:c>
      <x:c r="H247" s="11" t="n">
        <x:f>DATE(YEAR(G247),MONTH(G247),1)</x:f>
        <x:v>46082</x:v>
      </x:c>
    </x:row>
    <x:row r="248" ht="23" customHeight="1">
      <x:c r="A248" s="2" t="str">
        <x:v>SIM-202603-019</x:v>
      </x:c>
      <x:c r="B248" s="2" t="str">
        <x:v>Hamburguesa especial</x:v>
      </x:c>
      <x:c r="C248" s="2" t="str"/>
      <x:c r="D248" s="2" t="n">
        <x:v>1</x:v>
      </x:c>
      <x:c r="E248" s="10" t="n">
        <x:v>20000</x:v>
      </x:c>
      <x:c r="F248" s="10" t="n">
        <x:v>20000</x:v>
      </x:c>
      <x:c r="G248" s="8" t="n">
        <x:f>INDEX('Órdenes'!$B$7:$B$334,MATCH(A248,'Órdenes'!$A$7:$A$334,0))</x:f>
        <x:v>46089</x:v>
      </x:c>
      <x:c r="H248" s="11" t="n">
        <x:f>DATE(YEAR(G248),MONTH(G248),1)</x:f>
        <x:v>46082</x:v>
      </x:c>
    </x:row>
    <x:row r="249" ht="23" customHeight="1">
      <x:c r="A249" s="2" t="str">
        <x:v>SIM-202603-019</x:v>
      </x:c>
      <x:c r="B249" s="2" t="str">
        <x:v>Gaseosas</x:v>
      </x:c>
      <x:c r="C249" s="2" t="str">
        <x:v>Coca-Cola</x:v>
      </x:c>
      <x:c r="D249" s="2" t="n">
        <x:v>1</x:v>
      </x:c>
      <x:c r="E249" s="10" t="n">
        <x:v>5000</x:v>
      </x:c>
      <x:c r="F249" s="10" t="n">
        <x:v>5000</x:v>
      </x:c>
      <x:c r="G249" s="8" t="n">
        <x:f>INDEX('Órdenes'!$B$7:$B$334,MATCH(A249,'Órdenes'!$A$7:$A$334,0))</x:f>
        <x:v>46089</x:v>
      </x:c>
      <x:c r="H249" s="11" t="n">
        <x:f>DATE(YEAR(G249),MONTH(G249),1)</x:f>
        <x:v>46082</x:v>
      </x:c>
    </x:row>
    <x:row r="250" ht="23" customHeight="1">
      <x:c r="A250" s="2" t="str">
        <x:v>SIM-202603-019</x:v>
      </x:c>
      <x:c r="B250" s="2" t="str">
        <x:v>Gaseosas</x:v>
      </x:c>
      <x:c r="C250" s="2" t="str">
        <x:v>Sprite</x:v>
      </x:c>
      <x:c r="D250" s="2" t="n">
        <x:v>1</x:v>
      </x:c>
      <x:c r="E250" s="10" t="n">
        <x:v>5000</x:v>
      </x:c>
      <x:c r="F250" s="10" t="n">
        <x:v>5000</x:v>
      </x:c>
      <x:c r="G250" s="8" t="n">
        <x:f>INDEX('Órdenes'!$B$7:$B$334,MATCH(A250,'Órdenes'!$A$7:$A$334,0))</x:f>
        <x:v>46089</x:v>
      </x:c>
      <x:c r="H250" s="11" t="n">
        <x:f>DATE(YEAR(G250),MONTH(G250),1)</x:f>
        <x:v>46082</x:v>
      </x:c>
    </x:row>
    <x:row r="251" ht="23" customHeight="1">
      <x:c r="A251" s="2" t="str">
        <x:v>SIM-202603-020</x:v>
      </x:c>
      <x:c r="B251" s="2" t="str">
        <x:v>Hamburguesa Clásica</x:v>
      </x:c>
      <x:c r="C251" s="2" t="str"/>
      <x:c r="D251" s="2" t="n">
        <x:v>1</x:v>
      </x:c>
      <x:c r="E251" s="10" t="n">
        <x:v>15000</x:v>
      </x:c>
      <x:c r="F251" s="10" t="n">
        <x:v>15000</x:v>
      </x:c>
      <x:c r="G251" s="8" t="n">
        <x:f>INDEX('Órdenes'!$B$7:$B$334,MATCH(A251,'Órdenes'!$A$7:$A$334,0))</x:f>
        <x:v>46091</x:v>
      </x:c>
      <x:c r="H251" s="11" t="n">
        <x:f>DATE(YEAR(G251),MONTH(G251),1)</x:f>
        <x:v>46082</x:v>
      </x:c>
    </x:row>
    <x:row r="252" ht="23" customHeight="1">
      <x:c r="A252" s="2" t="str">
        <x:v>SIM-202603-020</x:v>
      </x:c>
      <x:c r="B252" s="2" t="str">
        <x:v>Hamburguesa especial</x:v>
      </x:c>
      <x:c r="C252" s="2" t="str"/>
      <x:c r="D252" s="2" t="n">
        <x:v>1</x:v>
      </x:c>
      <x:c r="E252" s="10" t="n">
        <x:v>20000</x:v>
      </x:c>
      <x:c r="F252" s="10" t="n">
        <x:v>20000</x:v>
      </x:c>
      <x:c r="G252" s="8" t="n">
        <x:f>INDEX('Órdenes'!$B$7:$B$334,MATCH(A252,'Órdenes'!$A$7:$A$334,0))</x:f>
        <x:v>46091</x:v>
      </x:c>
      <x:c r="H252" s="11" t="n">
        <x:f>DATE(YEAR(G252),MONTH(G252),1)</x:f>
        <x:v>46082</x:v>
      </x:c>
    </x:row>
    <x:row r="253" ht="23" customHeight="1">
      <x:c r="A253" s="2" t="str">
        <x:v>SIM-202603-020</x:v>
      </x:c>
      <x:c r="B253" s="2" t="str">
        <x:v>Gaseosas</x:v>
      </x:c>
      <x:c r="C253" s="2" t="str">
        <x:v>Manzana</x:v>
      </x:c>
      <x:c r="D253" s="2" t="n">
        <x:v>1</x:v>
      </x:c>
      <x:c r="E253" s="10" t="n">
        <x:v>5000</x:v>
      </x:c>
      <x:c r="F253" s="10" t="n">
        <x:v>5000</x:v>
      </x:c>
      <x:c r="G253" s="8" t="n">
        <x:f>INDEX('Órdenes'!$B$7:$B$334,MATCH(A253,'Órdenes'!$A$7:$A$334,0))</x:f>
        <x:v>46091</x:v>
      </x:c>
      <x:c r="H253" s="11" t="n">
        <x:f>DATE(YEAR(G253),MONTH(G253),1)</x:f>
        <x:v>46082</x:v>
      </x:c>
    </x:row>
    <x:row r="254" ht="23" customHeight="1">
      <x:c r="A254" s="2" t="str">
        <x:v>SIM-202603-020</x:v>
      </x:c>
      <x:c r="B254" s="2" t="str">
        <x:v>Gaseosas</x:v>
      </x:c>
      <x:c r="C254" s="2" t="str">
        <x:v>Sprite</x:v>
      </x:c>
      <x:c r="D254" s="2" t="n">
        <x:v>1</x:v>
      </x:c>
      <x:c r="E254" s="10" t="n">
        <x:v>5000</x:v>
      </x:c>
      <x:c r="F254" s="10" t="n">
        <x:v>5000</x:v>
      </x:c>
      <x:c r="G254" s="8" t="n">
        <x:f>INDEX('Órdenes'!$B$7:$B$334,MATCH(A254,'Órdenes'!$A$7:$A$334,0))</x:f>
        <x:v>46091</x:v>
      </x:c>
      <x:c r="H254" s="11" t="n">
        <x:f>DATE(YEAR(G254),MONTH(G254),1)</x:f>
        <x:v>46082</x:v>
      </x:c>
    </x:row>
    <x:row r="255" ht="23" customHeight="1">
      <x:c r="A255" s="2" t="str">
        <x:v>SIM-202603-021</x:v>
      </x:c>
      <x:c r="B255" s="2" t="str">
        <x:v>Hamburguesa especial</x:v>
      </x:c>
      <x:c r="C255" s="2" t="str"/>
      <x:c r="D255" s="2" t="n">
        <x:v>1</x:v>
      </x:c>
      <x:c r="E255" s="10" t="n">
        <x:v>20000</x:v>
      </x:c>
      <x:c r="F255" s="10" t="n">
        <x:v>20000</x:v>
      </x:c>
      <x:c r="G255" s="8" t="n">
        <x:f>INDEX('Órdenes'!$B$7:$B$334,MATCH(A255,'Órdenes'!$A$7:$A$334,0))</x:f>
        <x:v>46092</x:v>
      </x:c>
      <x:c r="H255" s="11" t="n">
        <x:f>DATE(YEAR(G255),MONTH(G255),1)</x:f>
        <x:v>46082</x:v>
      </x:c>
    </x:row>
    <x:row r="256" ht="23" customHeight="1">
      <x:c r="A256" s="2" t="str">
        <x:v>SIM-202603-021</x:v>
      </x:c>
      <x:c r="B256" s="2" t="str">
        <x:v>Gaseosas</x:v>
      </x:c>
      <x:c r="C256" s="2" t="str">
        <x:v>Sprite</x:v>
      </x:c>
      <x:c r="D256" s="2" t="n">
        <x:v>1</x:v>
      </x:c>
      <x:c r="E256" s="10" t="n">
        <x:v>5000</x:v>
      </x:c>
      <x:c r="F256" s="10" t="n">
        <x:v>5000</x:v>
      </x:c>
      <x:c r="G256" s="8" t="n">
        <x:f>INDEX('Órdenes'!$B$7:$B$334,MATCH(A256,'Órdenes'!$A$7:$A$334,0))</x:f>
        <x:v>46092</x:v>
      </x:c>
      <x:c r="H256" s="11" t="n">
        <x:f>DATE(YEAR(G256),MONTH(G256),1)</x:f>
        <x:v>46082</x:v>
      </x:c>
    </x:row>
    <x:row r="257" ht="23" customHeight="1">
      <x:c r="A257" s="2" t="str">
        <x:v>SIM-202603-022</x:v>
      </x:c>
      <x:c r="B257" s="2" t="str">
        <x:v>Hamburguesa Clásica</x:v>
      </x:c>
      <x:c r="C257" s="2" t="str"/>
      <x:c r="D257" s="2" t="n">
        <x:v>1</x:v>
      </x:c>
      <x:c r="E257" s="10" t="n">
        <x:v>15000</x:v>
      </x:c>
      <x:c r="F257" s="10" t="n">
        <x:v>15000</x:v>
      </x:c>
      <x:c r="G257" s="8" t="n">
        <x:f>INDEX('Órdenes'!$B$7:$B$334,MATCH(A257,'Órdenes'!$A$7:$A$334,0))</x:f>
        <x:v>46093</x:v>
      </x:c>
      <x:c r="H257" s="11" t="n">
        <x:f>DATE(YEAR(G257),MONTH(G257),1)</x:f>
        <x:v>46082</x:v>
      </x:c>
    </x:row>
    <x:row r="258" ht="23" customHeight="1">
      <x:c r="A258" s="2" t="str">
        <x:v>SIM-202603-022</x:v>
      </x:c>
      <x:c r="B258" s="2" t="str">
        <x:v>Salchipapas</x:v>
      </x:c>
      <x:c r="C258" s="2" t="str"/>
      <x:c r="D258" s="2" t="n">
        <x:v>2</x:v>
      </x:c>
      <x:c r="E258" s="10" t="n">
        <x:v>12000</x:v>
      </x:c>
      <x:c r="F258" s="10" t="n">
        <x:v>24000</x:v>
      </x:c>
      <x:c r="G258" s="8" t="n">
        <x:f>INDEX('Órdenes'!$B$7:$B$334,MATCH(A258,'Órdenes'!$A$7:$A$334,0))</x:f>
        <x:v>46093</x:v>
      </x:c>
      <x:c r="H258" s="11" t="n">
        <x:f>DATE(YEAR(G258),MONTH(G258),1)</x:f>
        <x:v>46082</x:v>
      </x:c>
    </x:row>
    <x:row r="259" ht="23" customHeight="1">
      <x:c r="A259" s="2" t="str">
        <x:v>SIM-202603-022</x:v>
      </x:c>
      <x:c r="B259" s="2" t="str">
        <x:v>Gaseosas</x:v>
      </x:c>
      <x:c r="C259" s="2" t="str">
        <x:v>Coca-Cola</x:v>
      </x:c>
      <x:c r="D259" s="2" t="n">
        <x:v>2</x:v>
      </x:c>
      <x:c r="E259" s="10" t="n">
        <x:v>5000</x:v>
      </x:c>
      <x:c r="F259" s="10" t="n">
        <x:v>10000</x:v>
      </x:c>
      <x:c r="G259" s="8" t="n">
        <x:f>INDEX('Órdenes'!$B$7:$B$334,MATCH(A259,'Órdenes'!$A$7:$A$334,0))</x:f>
        <x:v>46093</x:v>
      </x:c>
      <x:c r="H259" s="11" t="n">
        <x:f>DATE(YEAR(G259),MONTH(G259),1)</x:f>
        <x:v>46082</x:v>
      </x:c>
    </x:row>
    <x:row r="260" ht="23" customHeight="1">
      <x:c r="A260" s="2" t="str">
        <x:v>SIM-202603-023</x:v>
      </x:c>
      <x:c r="B260" s="2" t="str">
        <x:v>Hamburguesa Clásica</x:v>
      </x:c>
      <x:c r="C260" s="2" t="str"/>
      <x:c r="D260" s="2" t="n">
        <x:v>2</x:v>
      </x:c>
      <x:c r="E260" s="10" t="n">
        <x:v>15000</x:v>
      </x:c>
      <x:c r="F260" s="10" t="n">
        <x:v>30000</x:v>
      </x:c>
      <x:c r="G260" s="8" t="n">
        <x:f>INDEX('Órdenes'!$B$7:$B$334,MATCH(A260,'Órdenes'!$A$7:$A$334,0))</x:f>
        <x:v>46094</x:v>
      </x:c>
      <x:c r="H260" s="11" t="n">
        <x:f>DATE(YEAR(G260),MONTH(G260),1)</x:f>
        <x:v>46082</x:v>
      </x:c>
    </x:row>
    <x:row r="261" ht="23" customHeight="1">
      <x:c r="A261" s="2" t="str">
        <x:v>SIM-202603-023</x:v>
      </x:c>
      <x:c r="B261" s="2" t="str">
        <x:v>Hamburguesa especial</x:v>
      </x:c>
      <x:c r="C261" s="2" t="str"/>
      <x:c r="D261" s="2" t="n">
        <x:v>1</x:v>
      </x:c>
      <x:c r="E261" s="10" t="n">
        <x:v>20000</x:v>
      </x:c>
      <x:c r="F261" s="10" t="n">
        <x:v>20000</x:v>
      </x:c>
      <x:c r="G261" s="8" t="n">
        <x:f>INDEX('Órdenes'!$B$7:$B$334,MATCH(A261,'Órdenes'!$A$7:$A$334,0))</x:f>
        <x:v>46094</x:v>
      </x:c>
      <x:c r="H261" s="11" t="n">
        <x:f>DATE(YEAR(G261),MONTH(G261),1)</x:f>
        <x:v>46082</x:v>
      </x:c>
    </x:row>
    <x:row r="262" ht="23" customHeight="1">
      <x:c r="A262" s="2" t="str">
        <x:v>SIM-202603-023</x:v>
      </x:c>
      <x:c r="B262" s="2" t="str">
        <x:v>Salchipapas</x:v>
      </x:c>
      <x:c r="C262" s="2" t="str"/>
      <x:c r="D262" s="2" t="n">
        <x:v>1</x:v>
      </x:c>
      <x:c r="E262" s="10" t="n">
        <x:v>12000</x:v>
      </x:c>
      <x:c r="F262" s="10" t="n">
        <x:v>12000</x:v>
      </x:c>
      <x:c r="G262" s="8" t="n">
        <x:f>INDEX('Órdenes'!$B$7:$B$334,MATCH(A262,'Órdenes'!$A$7:$A$334,0))</x:f>
        <x:v>46094</x:v>
      </x:c>
      <x:c r="H262" s="11" t="n">
        <x:f>DATE(YEAR(G262),MONTH(G262),1)</x:f>
        <x:v>46082</x:v>
      </x:c>
    </x:row>
    <x:row r="263" ht="23" customHeight="1">
      <x:c r="A263" s="2" t="str">
        <x:v>SIM-202603-023</x:v>
      </x:c>
      <x:c r="B263" s="2" t="str">
        <x:v>Gaseosas</x:v>
      </x:c>
      <x:c r="C263" s="2" t="str">
        <x:v>Sprite</x:v>
      </x:c>
      <x:c r="D263" s="2" t="n">
        <x:v>2</x:v>
      </x:c>
      <x:c r="E263" s="10" t="n">
        <x:v>5000</x:v>
      </x:c>
      <x:c r="F263" s="10" t="n">
        <x:v>10000</x:v>
      </x:c>
      <x:c r="G263" s="8" t="n">
        <x:f>INDEX('Órdenes'!$B$7:$B$334,MATCH(A263,'Órdenes'!$A$7:$A$334,0))</x:f>
        <x:v>46094</x:v>
      </x:c>
      <x:c r="H263" s="11" t="n">
        <x:f>DATE(YEAR(G263),MONTH(G263),1)</x:f>
        <x:v>46082</x:v>
      </x:c>
    </x:row>
    <x:row r="264" ht="23" customHeight="1">
      <x:c r="A264" s="2" t="str">
        <x:v>SIM-202603-024</x:v>
      </x:c>
      <x:c r="B264" s="2" t="str">
        <x:v>Hamburguesa Clásica</x:v>
      </x:c>
      <x:c r="C264" s="2" t="str"/>
      <x:c r="D264" s="2" t="n">
        <x:v>2</x:v>
      </x:c>
      <x:c r="E264" s="10" t="n">
        <x:v>15000</x:v>
      </x:c>
      <x:c r="F264" s="10" t="n">
        <x:v>30000</x:v>
      </x:c>
      <x:c r="G264" s="8" t="n">
        <x:f>INDEX('Órdenes'!$B$7:$B$334,MATCH(A264,'Órdenes'!$A$7:$A$334,0))</x:f>
        <x:v>46094</x:v>
      </x:c>
      <x:c r="H264" s="11" t="n">
        <x:f>DATE(YEAR(G264),MONTH(G264),1)</x:f>
        <x:v>46082</x:v>
      </x:c>
    </x:row>
    <x:row r="265" ht="23" customHeight="1">
      <x:c r="A265" s="2" t="str">
        <x:v>SIM-202603-024</x:v>
      </x:c>
      <x:c r="B265" s="2" t="str">
        <x:v>Gaseosas</x:v>
      </x:c>
      <x:c r="C265" s="2" t="str">
        <x:v>Coca-Cola</x:v>
      </x:c>
      <x:c r="D265" s="2" t="n">
        <x:v>1</x:v>
      </x:c>
      <x:c r="E265" s="10" t="n">
        <x:v>5000</x:v>
      </x:c>
      <x:c r="F265" s="10" t="n">
        <x:v>5000</x:v>
      </x:c>
      <x:c r="G265" s="8" t="n">
        <x:f>INDEX('Órdenes'!$B$7:$B$334,MATCH(A265,'Órdenes'!$A$7:$A$334,0))</x:f>
        <x:v>46094</x:v>
      </x:c>
      <x:c r="H265" s="11" t="n">
        <x:f>DATE(YEAR(G265),MONTH(G265),1)</x:f>
        <x:v>46082</x:v>
      </x:c>
    </x:row>
    <x:row r="266" ht="23" customHeight="1">
      <x:c r="A266" s="2" t="str">
        <x:v>SIM-202603-024</x:v>
      </x:c>
      <x:c r="B266" s="2" t="str">
        <x:v>Gaseosas</x:v>
      </x:c>
      <x:c r="C266" s="2" t="str">
        <x:v>Sprite</x:v>
      </x:c>
      <x:c r="D266" s="2" t="n">
        <x:v>1</x:v>
      </x:c>
      <x:c r="E266" s="10" t="n">
        <x:v>5000</x:v>
      </x:c>
      <x:c r="F266" s="10" t="n">
        <x:v>5000</x:v>
      </x:c>
      <x:c r="G266" s="8" t="n">
        <x:f>INDEX('Órdenes'!$B$7:$B$334,MATCH(A266,'Órdenes'!$A$7:$A$334,0))</x:f>
        <x:v>46094</x:v>
      </x:c>
      <x:c r="H266" s="11" t="n">
        <x:f>DATE(YEAR(G266),MONTH(G266),1)</x:f>
        <x:v>46082</x:v>
      </x:c>
    </x:row>
    <x:row r="267" ht="23" customHeight="1">
      <x:c r="A267" s="2" t="str">
        <x:v>SIM-202603-025</x:v>
      </x:c>
      <x:c r="B267" s="2" t="str">
        <x:v>Hamburguesa Clásica</x:v>
      </x:c>
      <x:c r="C267" s="2" t="str"/>
      <x:c r="D267" s="2" t="n">
        <x:v>1</x:v>
      </x:c>
      <x:c r="E267" s="10" t="n">
        <x:v>15000</x:v>
      </x:c>
      <x:c r="F267" s="10" t="n">
        <x:v>15000</x:v>
      </x:c>
      <x:c r="G267" s="8" t="n">
        <x:f>INDEX('Órdenes'!$B$7:$B$334,MATCH(A267,'Órdenes'!$A$7:$A$334,0))</x:f>
        <x:v>46095</x:v>
      </x:c>
      <x:c r="H267" s="11" t="n">
        <x:f>DATE(YEAR(G267),MONTH(G267),1)</x:f>
        <x:v>46082</x:v>
      </x:c>
    </x:row>
    <x:row r="268" ht="23" customHeight="1">
      <x:c r="A268" s="2" t="str">
        <x:v>SIM-202603-025</x:v>
      </x:c>
      <x:c r="B268" s="2" t="str">
        <x:v>Salchipapas</x:v>
      </x:c>
      <x:c r="C268" s="2" t="str"/>
      <x:c r="D268" s="2" t="n">
        <x:v>1</x:v>
      </x:c>
      <x:c r="E268" s="10" t="n">
        <x:v>12000</x:v>
      </x:c>
      <x:c r="F268" s="10" t="n">
        <x:v>12000</x:v>
      </x:c>
      <x:c r="G268" s="8" t="n">
        <x:f>INDEX('Órdenes'!$B$7:$B$334,MATCH(A268,'Órdenes'!$A$7:$A$334,0))</x:f>
        <x:v>46095</x:v>
      </x:c>
      <x:c r="H268" s="11" t="n">
        <x:f>DATE(YEAR(G268),MONTH(G268),1)</x:f>
        <x:v>46082</x:v>
      </x:c>
    </x:row>
    <x:row r="269" ht="23" customHeight="1">
      <x:c r="A269" s="2" t="str">
        <x:v>SIM-202603-025</x:v>
      </x:c>
      <x:c r="B269" s="2" t="str">
        <x:v>Gaseosas</x:v>
      </x:c>
      <x:c r="C269" s="2" t="str">
        <x:v>Coca-Cola</x:v>
      </x:c>
      <x:c r="D269" s="2" t="n">
        <x:v>1</x:v>
      </x:c>
      <x:c r="E269" s="10" t="n">
        <x:v>5000</x:v>
      </x:c>
      <x:c r="F269" s="10" t="n">
        <x:v>5000</x:v>
      </x:c>
      <x:c r="G269" s="8" t="n">
        <x:f>INDEX('Órdenes'!$B$7:$B$334,MATCH(A269,'Órdenes'!$A$7:$A$334,0))</x:f>
        <x:v>46095</x:v>
      </x:c>
      <x:c r="H269" s="11" t="n">
        <x:f>DATE(YEAR(G269),MONTH(G269),1)</x:f>
        <x:v>46082</x:v>
      </x:c>
    </x:row>
    <x:row r="270" ht="23" customHeight="1">
      <x:c r="A270" s="2" t="str">
        <x:v>SIM-202603-025</x:v>
      </x:c>
      <x:c r="B270" s="2" t="str">
        <x:v>Gaseosas</x:v>
      </x:c>
      <x:c r="C270" s="2" t="str">
        <x:v>Manzana</x:v>
      </x:c>
      <x:c r="D270" s="2" t="n">
        <x:v>1</x:v>
      </x:c>
      <x:c r="E270" s="10" t="n">
        <x:v>5000</x:v>
      </x:c>
      <x:c r="F270" s="10" t="n">
        <x:v>5000</x:v>
      </x:c>
      <x:c r="G270" s="8" t="n">
        <x:f>INDEX('Órdenes'!$B$7:$B$334,MATCH(A270,'Órdenes'!$A$7:$A$334,0))</x:f>
        <x:v>46095</x:v>
      </x:c>
      <x:c r="H270" s="11" t="n">
        <x:f>DATE(YEAR(G270),MONTH(G270),1)</x:f>
        <x:v>46082</x:v>
      </x:c>
    </x:row>
    <x:row r="271" ht="23" customHeight="1">
      <x:c r="A271" s="2" t="str">
        <x:v>SIM-202603-026</x:v>
      </x:c>
      <x:c r="B271" s="2" t="str">
        <x:v>Hamburguesa Clásica</x:v>
      </x:c>
      <x:c r="C271" s="2" t="str"/>
      <x:c r="D271" s="2" t="n">
        <x:v>1</x:v>
      </x:c>
      <x:c r="E271" s="10" t="n">
        <x:v>15000</x:v>
      </x:c>
      <x:c r="F271" s="10" t="n">
        <x:v>15000</x:v>
      </x:c>
      <x:c r="G271" s="8" t="n">
        <x:f>INDEX('Órdenes'!$B$7:$B$334,MATCH(A271,'Órdenes'!$A$7:$A$334,0))</x:f>
        <x:v>46095</x:v>
      </x:c>
      <x:c r="H271" s="11" t="n">
        <x:f>DATE(YEAR(G271),MONTH(G271),1)</x:f>
        <x:v>46082</x:v>
      </x:c>
    </x:row>
    <x:row r="272" ht="23" customHeight="1">
      <x:c r="A272" s="2" t="str">
        <x:v>SIM-202603-026</x:v>
      </x:c>
      <x:c r="B272" s="2" t="str">
        <x:v>Perro caliente</x:v>
      </x:c>
      <x:c r="C272" s="2" t="str"/>
      <x:c r="D272" s="2" t="n">
        <x:v>1</x:v>
      </x:c>
      <x:c r="E272" s="10" t="n">
        <x:v>13000</x:v>
      </x:c>
      <x:c r="F272" s="10" t="n">
        <x:v>13000</x:v>
      </x:c>
      <x:c r="G272" s="8" t="n">
        <x:f>INDEX('Órdenes'!$B$7:$B$334,MATCH(A272,'Órdenes'!$A$7:$A$334,0))</x:f>
        <x:v>46095</x:v>
      </x:c>
      <x:c r="H272" s="11" t="n">
        <x:f>DATE(YEAR(G272),MONTH(G272),1)</x:f>
        <x:v>46082</x:v>
      </x:c>
    </x:row>
    <x:row r="273" ht="23" customHeight="1">
      <x:c r="A273" s="2" t="str">
        <x:v>SIM-202603-026</x:v>
      </x:c>
      <x:c r="B273" s="2" t="str">
        <x:v>Gaseosas</x:v>
      </x:c>
      <x:c r="C273" s="2" t="str">
        <x:v>Coca-Cola</x:v>
      </x:c>
      <x:c r="D273" s="2" t="n">
        <x:v>2</x:v>
      </x:c>
      <x:c r="E273" s="10" t="n">
        <x:v>5000</x:v>
      </x:c>
      <x:c r="F273" s="10" t="n">
        <x:v>10000</x:v>
      </x:c>
      <x:c r="G273" s="8" t="n">
        <x:f>INDEX('Órdenes'!$B$7:$B$334,MATCH(A273,'Órdenes'!$A$7:$A$334,0))</x:f>
        <x:v>46095</x:v>
      </x:c>
      <x:c r="H273" s="11" t="n">
        <x:f>DATE(YEAR(G273),MONTH(G273),1)</x:f>
        <x:v>46082</x:v>
      </x:c>
    </x:row>
    <x:row r="274" ht="23" customHeight="1">
      <x:c r="A274" s="2" t="str">
        <x:v>SIM-202603-027</x:v>
      </x:c>
      <x:c r="B274" s="2" t="str">
        <x:v>Hamburguesa Clásica</x:v>
      </x:c>
      <x:c r="C274" s="2" t="str"/>
      <x:c r="D274" s="2" t="n">
        <x:v>1</x:v>
      </x:c>
      <x:c r="E274" s="10" t="n">
        <x:v>15000</x:v>
      </x:c>
      <x:c r="F274" s="10" t="n">
        <x:v>15000</x:v>
      </x:c>
      <x:c r="G274" s="8" t="n">
        <x:f>INDEX('Órdenes'!$B$7:$B$334,MATCH(A274,'Órdenes'!$A$7:$A$334,0))</x:f>
        <x:v>46095</x:v>
      </x:c>
      <x:c r="H274" s="11" t="n">
        <x:f>DATE(YEAR(G274),MONTH(G274),1)</x:f>
        <x:v>46082</x:v>
      </x:c>
    </x:row>
    <x:row r="275" ht="23" customHeight="1">
      <x:c r="A275" s="2" t="str">
        <x:v>SIM-202603-027</x:v>
      </x:c>
      <x:c r="B275" s="2" t="str">
        <x:v>Salchipapas</x:v>
      </x:c>
      <x:c r="C275" s="2" t="str"/>
      <x:c r="D275" s="2" t="n">
        <x:v>1</x:v>
      </x:c>
      <x:c r="E275" s="10" t="n">
        <x:v>12000</x:v>
      </x:c>
      <x:c r="F275" s="10" t="n">
        <x:v>12000</x:v>
      </x:c>
      <x:c r="G275" s="8" t="n">
        <x:f>INDEX('Órdenes'!$B$7:$B$334,MATCH(A275,'Órdenes'!$A$7:$A$334,0))</x:f>
        <x:v>46095</x:v>
      </x:c>
      <x:c r="H275" s="11" t="n">
        <x:f>DATE(YEAR(G275),MONTH(G275),1)</x:f>
        <x:v>46082</x:v>
      </x:c>
    </x:row>
    <x:row r="276" ht="23" customHeight="1">
      <x:c r="A276" s="2" t="str">
        <x:v>SIM-202603-027</x:v>
      </x:c>
      <x:c r="B276" s="2" t="str">
        <x:v>Gaseosas</x:v>
      </x:c>
      <x:c r="C276" s="2" t="str">
        <x:v>Coca-Cola</x:v>
      </x:c>
      <x:c r="D276" s="2" t="n">
        <x:v>2</x:v>
      </x:c>
      <x:c r="E276" s="10" t="n">
        <x:v>5000</x:v>
      </x:c>
      <x:c r="F276" s="10" t="n">
        <x:v>10000</x:v>
      </x:c>
      <x:c r="G276" s="8" t="n">
        <x:f>INDEX('Órdenes'!$B$7:$B$334,MATCH(A276,'Órdenes'!$A$7:$A$334,0))</x:f>
        <x:v>46095</x:v>
      </x:c>
      <x:c r="H276" s="11" t="n">
        <x:f>DATE(YEAR(G276),MONTH(G276),1)</x:f>
        <x:v>46082</x:v>
      </x:c>
    </x:row>
    <x:row r="277" ht="23" customHeight="1">
      <x:c r="A277" s="2" t="str">
        <x:v>SIM-202603-028</x:v>
      </x:c>
      <x:c r="B277" s="2" t="str">
        <x:v>Hamburguesa Clásica</x:v>
      </x:c>
      <x:c r="C277" s="2" t="str"/>
      <x:c r="D277" s="2" t="n">
        <x:v>1</x:v>
      </x:c>
      <x:c r="E277" s="10" t="n">
        <x:v>15000</x:v>
      </x:c>
      <x:c r="F277" s="10" t="n">
        <x:v>15000</x:v>
      </x:c>
      <x:c r="G277" s="8" t="n">
        <x:f>INDEX('Órdenes'!$B$7:$B$334,MATCH(A277,'Órdenes'!$A$7:$A$334,0))</x:f>
        <x:v>46096</x:v>
      </x:c>
      <x:c r="H277" s="11" t="n">
        <x:f>DATE(YEAR(G277),MONTH(G277),1)</x:f>
        <x:v>46082</x:v>
      </x:c>
    </x:row>
    <x:row r="278" ht="23" customHeight="1">
      <x:c r="A278" s="2" t="str">
        <x:v>SIM-202603-028</x:v>
      </x:c>
      <x:c r="B278" s="2" t="str">
        <x:v>Perro caliente</x:v>
      </x:c>
      <x:c r="C278" s="2" t="str"/>
      <x:c r="D278" s="2" t="n">
        <x:v>1</x:v>
      </x:c>
      <x:c r="E278" s="10" t="n">
        <x:v>13000</x:v>
      </x:c>
      <x:c r="F278" s="10" t="n">
        <x:v>13000</x:v>
      </x:c>
      <x:c r="G278" s="8" t="n">
        <x:f>INDEX('Órdenes'!$B$7:$B$334,MATCH(A278,'Órdenes'!$A$7:$A$334,0))</x:f>
        <x:v>46096</x:v>
      </x:c>
      <x:c r="H278" s="11" t="n">
        <x:f>DATE(YEAR(G278),MONTH(G278),1)</x:f>
        <x:v>46082</x:v>
      </x:c>
    </x:row>
    <x:row r="279" ht="23" customHeight="1">
      <x:c r="A279" s="2" t="str">
        <x:v>SIM-202603-028</x:v>
      </x:c>
      <x:c r="B279" s="2" t="str">
        <x:v>Salchipapas</x:v>
      </x:c>
      <x:c r="C279" s="2" t="str"/>
      <x:c r="D279" s="2" t="n">
        <x:v>2</x:v>
      </x:c>
      <x:c r="E279" s="10" t="n">
        <x:v>12000</x:v>
      </x:c>
      <x:c r="F279" s="10" t="n">
        <x:v>24000</x:v>
      </x:c>
      <x:c r="G279" s="8" t="n">
        <x:f>INDEX('Órdenes'!$B$7:$B$334,MATCH(A279,'Órdenes'!$A$7:$A$334,0))</x:f>
        <x:v>46096</x:v>
      </x:c>
      <x:c r="H279" s="11" t="n">
        <x:f>DATE(YEAR(G279),MONTH(G279),1)</x:f>
        <x:v>46082</x:v>
      </x:c>
    </x:row>
    <x:row r="280" ht="23" customHeight="1">
      <x:c r="A280" s="2" t="str">
        <x:v>SIM-202603-028</x:v>
      </x:c>
      <x:c r="B280" s="2" t="str">
        <x:v>Gaseosas</x:v>
      </x:c>
      <x:c r="C280" s="2" t="str">
        <x:v>Sprite</x:v>
      </x:c>
      <x:c r="D280" s="2" t="n">
        <x:v>2</x:v>
      </x:c>
      <x:c r="E280" s="10" t="n">
        <x:v>5000</x:v>
      </x:c>
      <x:c r="F280" s="10" t="n">
        <x:v>10000</x:v>
      </x:c>
      <x:c r="G280" s="8" t="n">
        <x:f>INDEX('Órdenes'!$B$7:$B$334,MATCH(A280,'Órdenes'!$A$7:$A$334,0))</x:f>
        <x:v>46096</x:v>
      </x:c>
      <x:c r="H280" s="11" t="n">
        <x:f>DATE(YEAR(G280),MONTH(G280),1)</x:f>
        <x:v>46082</x:v>
      </x:c>
    </x:row>
    <x:row r="281" ht="23" customHeight="1">
      <x:c r="A281" s="2" t="str">
        <x:v>SIM-202603-029</x:v>
      </x:c>
      <x:c r="B281" s="2" t="str">
        <x:v>Hamburguesa Clásica</x:v>
      </x:c>
      <x:c r="C281" s="2" t="str"/>
      <x:c r="D281" s="2" t="n">
        <x:v>1</x:v>
      </x:c>
      <x:c r="E281" s="10" t="n">
        <x:v>15000</x:v>
      </x:c>
      <x:c r="F281" s="10" t="n">
        <x:v>15000</x:v>
      </x:c>
      <x:c r="G281" s="8" t="n">
        <x:f>INDEX('Órdenes'!$B$7:$B$334,MATCH(A281,'Órdenes'!$A$7:$A$334,0))</x:f>
        <x:v>46100</x:v>
      </x:c>
      <x:c r="H281" s="11" t="n">
        <x:f>DATE(YEAR(G281),MONTH(G281),1)</x:f>
        <x:v>46082</x:v>
      </x:c>
    </x:row>
    <x:row r="282" ht="23" customHeight="1">
      <x:c r="A282" s="2" t="str">
        <x:v>SIM-202603-029</x:v>
      </x:c>
      <x:c r="B282" s="2" t="str">
        <x:v>Gaseosas</x:v>
      </x:c>
      <x:c r="C282" s="2" t="str">
        <x:v>Coca-Cola</x:v>
      </x:c>
      <x:c r="D282" s="2" t="n">
        <x:v>1</x:v>
      </x:c>
      <x:c r="E282" s="10" t="n">
        <x:v>5000</x:v>
      </x:c>
      <x:c r="F282" s="10" t="n">
        <x:v>5000</x:v>
      </x:c>
      <x:c r="G282" s="8" t="n">
        <x:f>INDEX('Órdenes'!$B$7:$B$334,MATCH(A282,'Órdenes'!$A$7:$A$334,0))</x:f>
        <x:v>46100</x:v>
      </x:c>
      <x:c r="H282" s="11" t="n">
        <x:f>DATE(YEAR(G282),MONTH(G282),1)</x:f>
        <x:v>46082</x:v>
      </x:c>
    </x:row>
    <x:row r="283" ht="23" customHeight="1">
      <x:c r="A283" s="2" t="str">
        <x:v>SIM-202603-030</x:v>
      </x:c>
      <x:c r="B283" s="2" t="str">
        <x:v>Hamburguesa especial</x:v>
      </x:c>
      <x:c r="C283" s="2" t="str"/>
      <x:c r="D283" s="2" t="n">
        <x:v>1</x:v>
      </x:c>
      <x:c r="E283" s="10" t="n">
        <x:v>20000</x:v>
      </x:c>
      <x:c r="F283" s="10" t="n">
        <x:v>20000</x:v>
      </x:c>
      <x:c r="G283" s="8" t="n">
        <x:f>INDEX('Órdenes'!$B$7:$B$334,MATCH(A283,'Órdenes'!$A$7:$A$334,0))</x:f>
        <x:v>46101</x:v>
      </x:c>
      <x:c r="H283" s="11" t="n">
        <x:f>DATE(YEAR(G283),MONTH(G283),1)</x:f>
        <x:v>46082</x:v>
      </x:c>
    </x:row>
    <x:row r="284" ht="23" customHeight="1">
      <x:c r="A284" s="2" t="str">
        <x:v>SIM-202603-030</x:v>
      </x:c>
      <x:c r="B284" s="2" t="str">
        <x:v>Gaseosas</x:v>
      </x:c>
      <x:c r="C284" s="2" t="str">
        <x:v>Manzana</x:v>
      </x:c>
      <x:c r="D284" s="2" t="n">
        <x:v>1</x:v>
      </x:c>
      <x:c r="E284" s="10" t="n">
        <x:v>5000</x:v>
      </x:c>
      <x:c r="F284" s="10" t="n">
        <x:v>5000</x:v>
      </x:c>
      <x:c r="G284" s="8" t="n">
        <x:f>INDEX('Órdenes'!$B$7:$B$334,MATCH(A284,'Órdenes'!$A$7:$A$334,0))</x:f>
        <x:v>46101</x:v>
      </x:c>
      <x:c r="H284" s="11" t="n">
        <x:f>DATE(YEAR(G284),MONTH(G284),1)</x:f>
        <x:v>46082</x:v>
      </x:c>
    </x:row>
    <x:row r="285" ht="23" customHeight="1">
      <x:c r="A285" s="2" t="str">
        <x:v>SIM-202603-031</x:v>
      </x:c>
      <x:c r="B285" s="2" t="str">
        <x:v>Perro caliente</x:v>
      </x:c>
      <x:c r="C285" s="2" t="str"/>
      <x:c r="D285" s="2" t="n">
        <x:v>1</x:v>
      </x:c>
      <x:c r="E285" s="10" t="n">
        <x:v>13000</x:v>
      </x:c>
      <x:c r="F285" s="10" t="n">
        <x:v>13000</x:v>
      </x:c>
      <x:c r="G285" s="8" t="n">
        <x:f>INDEX('Órdenes'!$B$7:$B$334,MATCH(A285,'Órdenes'!$A$7:$A$334,0))</x:f>
        <x:v>46101</x:v>
      </x:c>
      <x:c r="H285" s="11" t="n">
        <x:f>DATE(YEAR(G285),MONTH(G285),1)</x:f>
        <x:v>46082</x:v>
      </x:c>
    </x:row>
    <x:row r="286" ht="23" customHeight="1">
      <x:c r="A286" s="2" t="str">
        <x:v>SIM-202603-031</x:v>
      </x:c>
      <x:c r="B286" s="2" t="str">
        <x:v>Salchipapas</x:v>
      </x:c>
      <x:c r="C286" s="2" t="str"/>
      <x:c r="D286" s="2" t="n">
        <x:v>1</x:v>
      </x:c>
      <x:c r="E286" s="10" t="n">
        <x:v>12000</x:v>
      </x:c>
      <x:c r="F286" s="10" t="n">
        <x:v>12000</x:v>
      </x:c>
      <x:c r="G286" s="8" t="n">
        <x:f>INDEX('Órdenes'!$B$7:$B$334,MATCH(A286,'Órdenes'!$A$7:$A$334,0))</x:f>
        <x:v>46101</x:v>
      </x:c>
      <x:c r="H286" s="11" t="n">
        <x:f>DATE(YEAR(G286),MONTH(G286),1)</x:f>
        <x:v>46082</x:v>
      </x:c>
    </x:row>
    <x:row r="287" ht="23" customHeight="1">
      <x:c r="A287" s="2" t="str">
        <x:v>SIM-202603-031</x:v>
      </x:c>
      <x:c r="B287" s="2" t="str">
        <x:v>Gaseosas</x:v>
      </x:c>
      <x:c r="C287" s="2" t="str">
        <x:v>Coca-Cola</x:v>
      </x:c>
      <x:c r="D287" s="2" t="n">
        <x:v>1</x:v>
      </x:c>
      <x:c r="E287" s="10" t="n">
        <x:v>5000</x:v>
      </x:c>
      <x:c r="F287" s="10" t="n">
        <x:v>5000</x:v>
      </x:c>
      <x:c r="G287" s="8" t="n">
        <x:f>INDEX('Órdenes'!$B$7:$B$334,MATCH(A287,'Órdenes'!$A$7:$A$334,0))</x:f>
        <x:v>46101</x:v>
      </x:c>
      <x:c r="H287" s="11" t="n">
        <x:f>DATE(YEAR(G287),MONTH(G287),1)</x:f>
        <x:v>46082</x:v>
      </x:c>
    </x:row>
    <x:row r="288" ht="23" customHeight="1">
      <x:c r="A288" s="2" t="str">
        <x:v>SIM-202603-032</x:v>
      </x:c>
      <x:c r="B288" s="2" t="str">
        <x:v>Hamburguesa Clásica</x:v>
      </x:c>
      <x:c r="C288" s="2" t="str"/>
      <x:c r="D288" s="2" t="n">
        <x:v>1</x:v>
      </x:c>
      <x:c r="E288" s="10" t="n">
        <x:v>15000</x:v>
      </x:c>
      <x:c r="F288" s="10" t="n">
        <x:v>15000</x:v>
      </x:c>
      <x:c r="G288" s="8" t="n">
        <x:f>INDEX('Órdenes'!$B$7:$B$334,MATCH(A288,'Órdenes'!$A$7:$A$334,0))</x:f>
        <x:v>46101</x:v>
      </x:c>
      <x:c r="H288" s="11" t="n">
        <x:f>DATE(YEAR(G288),MONTH(G288),1)</x:f>
        <x:v>46082</x:v>
      </x:c>
    </x:row>
    <x:row r="289" ht="23" customHeight="1">
      <x:c r="A289" s="2" t="str">
        <x:v>SIM-202603-032</x:v>
      </x:c>
      <x:c r="B289" s="2" t="str">
        <x:v>Perro caliente</x:v>
      </x:c>
      <x:c r="C289" s="2" t="str"/>
      <x:c r="D289" s="2" t="n">
        <x:v>1</x:v>
      </x:c>
      <x:c r="E289" s="10" t="n">
        <x:v>13000</x:v>
      </x:c>
      <x:c r="F289" s="10" t="n">
        <x:v>13000</x:v>
      </x:c>
      <x:c r="G289" s="8" t="n">
        <x:f>INDEX('Órdenes'!$B$7:$B$334,MATCH(A289,'Órdenes'!$A$7:$A$334,0))</x:f>
        <x:v>46101</x:v>
      </x:c>
      <x:c r="H289" s="11" t="n">
        <x:f>DATE(YEAR(G289),MONTH(G289),1)</x:f>
        <x:v>46082</x:v>
      </x:c>
    </x:row>
    <x:row r="290" ht="23" customHeight="1">
      <x:c r="A290" s="2" t="str">
        <x:v>SIM-202603-032</x:v>
      </x:c>
      <x:c r="B290" s="2" t="str">
        <x:v>Gaseosas</x:v>
      </x:c>
      <x:c r="C290" s="2" t="str">
        <x:v>Coca-Cola</x:v>
      </x:c>
      <x:c r="D290" s="2" t="n">
        <x:v>1</x:v>
      </x:c>
      <x:c r="E290" s="10" t="n">
        <x:v>5000</x:v>
      </x:c>
      <x:c r="F290" s="10" t="n">
        <x:v>5000</x:v>
      </x:c>
      <x:c r="G290" s="8" t="n">
        <x:f>INDEX('Órdenes'!$B$7:$B$334,MATCH(A290,'Órdenes'!$A$7:$A$334,0))</x:f>
        <x:v>46101</x:v>
      </x:c>
      <x:c r="H290" s="11" t="n">
        <x:f>DATE(YEAR(G290),MONTH(G290),1)</x:f>
        <x:v>46082</x:v>
      </x:c>
    </x:row>
    <x:row r="291" ht="23" customHeight="1">
      <x:c r="A291" s="2" t="str">
        <x:v>SIM-202603-032</x:v>
      </x:c>
      <x:c r="B291" s="2" t="str">
        <x:v>Gaseosas</x:v>
      </x:c>
      <x:c r="C291" s="2" t="str">
        <x:v>Sprite</x:v>
      </x:c>
      <x:c r="D291" s="2" t="n">
        <x:v>1</x:v>
      </x:c>
      <x:c r="E291" s="10" t="n">
        <x:v>5000</x:v>
      </x:c>
      <x:c r="F291" s="10" t="n">
        <x:v>5000</x:v>
      </x:c>
      <x:c r="G291" s="8" t="n">
        <x:f>INDEX('Órdenes'!$B$7:$B$334,MATCH(A291,'Órdenes'!$A$7:$A$334,0))</x:f>
        <x:v>46101</x:v>
      </x:c>
      <x:c r="H291" s="11" t="n">
        <x:f>DATE(YEAR(G291),MONTH(G291),1)</x:f>
        <x:v>46082</x:v>
      </x:c>
    </x:row>
    <x:row r="292" ht="23" customHeight="1">
      <x:c r="A292" s="2" t="str">
        <x:v>SIM-202603-033</x:v>
      </x:c>
      <x:c r="B292" s="2" t="str">
        <x:v>Hamburguesa Clásica</x:v>
      </x:c>
      <x:c r="C292" s="2" t="str"/>
      <x:c r="D292" s="2" t="n">
        <x:v>1</x:v>
      </x:c>
      <x:c r="E292" s="10" t="n">
        <x:v>15000</x:v>
      </x:c>
      <x:c r="F292" s="10" t="n">
        <x:v>15000</x:v>
      </x:c>
      <x:c r="G292" s="8" t="n">
        <x:f>INDEX('Órdenes'!$B$7:$B$334,MATCH(A292,'Órdenes'!$A$7:$A$334,0))</x:f>
        <x:v>46101</x:v>
      </x:c>
      <x:c r="H292" s="11" t="n">
        <x:f>DATE(YEAR(G292),MONTH(G292),1)</x:f>
        <x:v>46082</x:v>
      </x:c>
    </x:row>
    <x:row r="293" ht="23" customHeight="1">
      <x:c r="A293" s="2" t="str">
        <x:v>SIM-202603-033</x:v>
      </x:c>
      <x:c r="B293" s="2" t="str">
        <x:v>Hamburguesa especial</x:v>
      </x:c>
      <x:c r="C293" s="2" t="str"/>
      <x:c r="D293" s="2" t="n">
        <x:v>1</x:v>
      </x:c>
      <x:c r="E293" s="10" t="n">
        <x:v>20000</x:v>
      </x:c>
      <x:c r="F293" s="10" t="n">
        <x:v>20000</x:v>
      </x:c>
      <x:c r="G293" s="8" t="n">
        <x:f>INDEX('Órdenes'!$B$7:$B$334,MATCH(A293,'Órdenes'!$A$7:$A$334,0))</x:f>
        <x:v>46101</x:v>
      </x:c>
      <x:c r="H293" s="11" t="n">
        <x:f>DATE(YEAR(G293),MONTH(G293),1)</x:f>
        <x:v>46082</x:v>
      </x:c>
    </x:row>
    <x:row r="294" ht="23" customHeight="1">
      <x:c r="A294" s="2" t="str">
        <x:v>SIM-202603-033</x:v>
      </x:c>
      <x:c r="B294" s="2" t="str">
        <x:v>Gaseosas</x:v>
      </x:c>
      <x:c r="C294" s="2" t="str">
        <x:v>Coca-Cola</x:v>
      </x:c>
      <x:c r="D294" s="2" t="n">
        <x:v>2</x:v>
      </x:c>
      <x:c r="E294" s="10" t="n">
        <x:v>5000</x:v>
      </x:c>
      <x:c r="F294" s="10" t="n">
        <x:v>10000</x:v>
      </x:c>
      <x:c r="G294" s="8" t="n">
        <x:f>INDEX('Órdenes'!$B$7:$B$334,MATCH(A294,'Órdenes'!$A$7:$A$334,0))</x:f>
        <x:v>46101</x:v>
      </x:c>
      <x:c r="H294" s="11" t="n">
        <x:f>DATE(YEAR(G294),MONTH(G294),1)</x:f>
        <x:v>46082</x:v>
      </x:c>
    </x:row>
    <x:row r="295" ht="23" customHeight="1">
      <x:c r="A295" s="2" t="str">
        <x:v>SIM-202603-034</x:v>
      </x:c>
      <x:c r="B295" s="2" t="str">
        <x:v>Perro caliente</x:v>
      </x:c>
      <x:c r="C295" s="2" t="str"/>
      <x:c r="D295" s="2" t="n">
        <x:v>2</x:v>
      </x:c>
      <x:c r="E295" s="10" t="n">
        <x:v>13000</x:v>
      </x:c>
      <x:c r="F295" s="10" t="n">
        <x:v>26000</x:v>
      </x:c>
      <x:c r="G295" s="8" t="n">
        <x:f>INDEX('Órdenes'!$B$7:$B$334,MATCH(A295,'Órdenes'!$A$7:$A$334,0))</x:f>
        <x:v>46102</x:v>
      </x:c>
      <x:c r="H295" s="11" t="n">
        <x:f>DATE(YEAR(G295),MONTH(G295),1)</x:f>
        <x:v>46082</x:v>
      </x:c>
    </x:row>
    <x:row r="296" ht="23" customHeight="1">
      <x:c r="A296" s="2" t="str">
        <x:v>SIM-202603-034</x:v>
      </x:c>
      <x:c r="B296" s="2" t="str">
        <x:v>Gaseosas</x:v>
      </x:c>
      <x:c r="C296" s="2" t="str">
        <x:v>Coca-Cola</x:v>
      </x:c>
      <x:c r="D296" s="2" t="n">
        <x:v>1</x:v>
      </x:c>
      <x:c r="E296" s="10" t="n">
        <x:v>5000</x:v>
      </x:c>
      <x:c r="F296" s="10" t="n">
        <x:v>5000</x:v>
      </x:c>
      <x:c r="G296" s="8" t="n">
        <x:f>INDEX('Órdenes'!$B$7:$B$334,MATCH(A296,'Órdenes'!$A$7:$A$334,0))</x:f>
        <x:v>46102</x:v>
      </x:c>
      <x:c r="H296" s="11" t="n">
        <x:f>DATE(YEAR(G296),MONTH(G296),1)</x:f>
        <x:v>46082</x:v>
      </x:c>
    </x:row>
    <x:row r="297" ht="23" customHeight="1">
      <x:c r="A297" s="2" t="str">
        <x:v>SIM-202603-035</x:v>
      </x:c>
      <x:c r="B297" s="2" t="str">
        <x:v>Hamburguesa Clásica</x:v>
      </x:c>
      <x:c r="C297" s="2" t="str"/>
      <x:c r="D297" s="2" t="n">
        <x:v>2</x:v>
      </x:c>
      <x:c r="E297" s="10" t="n">
        <x:v>15000</x:v>
      </x:c>
      <x:c r="F297" s="10" t="n">
        <x:v>30000</x:v>
      </x:c>
      <x:c r="G297" s="8" t="n">
        <x:f>INDEX('Órdenes'!$B$7:$B$334,MATCH(A297,'Órdenes'!$A$7:$A$334,0))</x:f>
        <x:v>46102</x:v>
      </x:c>
      <x:c r="H297" s="11" t="n">
        <x:f>DATE(YEAR(G297),MONTH(G297),1)</x:f>
        <x:v>46082</x:v>
      </x:c>
    </x:row>
    <x:row r="298" ht="23" customHeight="1">
      <x:c r="A298" s="2" t="str">
        <x:v>SIM-202603-035</x:v>
      </x:c>
      <x:c r="B298" s="2" t="str">
        <x:v>Hamburguesa especial</x:v>
      </x:c>
      <x:c r="C298" s="2" t="str"/>
      <x:c r="D298" s="2" t="n">
        <x:v>1</x:v>
      </x:c>
      <x:c r="E298" s="10" t="n">
        <x:v>20000</x:v>
      </x:c>
      <x:c r="F298" s="10" t="n">
        <x:v>20000</x:v>
      </x:c>
      <x:c r="G298" s="8" t="n">
        <x:f>INDEX('Órdenes'!$B$7:$B$334,MATCH(A298,'Órdenes'!$A$7:$A$334,0))</x:f>
        <x:v>46102</x:v>
      </x:c>
      <x:c r="H298" s="11" t="n">
        <x:f>DATE(YEAR(G298),MONTH(G298),1)</x:f>
        <x:v>46082</x:v>
      </x:c>
    </x:row>
    <x:row r="299" ht="23" customHeight="1">
      <x:c r="A299" s="2" t="str">
        <x:v>SIM-202603-035</x:v>
      </x:c>
      <x:c r="B299" s="2" t="str">
        <x:v>Salchipapas</x:v>
      </x:c>
      <x:c r="C299" s="2" t="str"/>
      <x:c r="D299" s="2" t="n">
        <x:v>1</x:v>
      </x:c>
      <x:c r="E299" s="10" t="n">
        <x:v>12000</x:v>
      </x:c>
      <x:c r="F299" s="10" t="n">
        <x:v>12000</x:v>
      </x:c>
      <x:c r="G299" s="8" t="n">
        <x:f>INDEX('Órdenes'!$B$7:$B$334,MATCH(A299,'Órdenes'!$A$7:$A$334,0))</x:f>
        <x:v>46102</x:v>
      </x:c>
      <x:c r="H299" s="11" t="n">
        <x:f>DATE(YEAR(G299),MONTH(G299),1)</x:f>
        <x:v>46082</x:v>
      </x:c>
    </x:row>
    <x:row r="300" ht="23" customHeight="1">
      <x:c r="A300" s="2" t="str">
        <x:v>SIM-202603-035</x:v>
      </x:c>
      <x:c r="B300" s="2" t="str">
        <x:v>Gaseosas</x:v>
      </x:c>
      <x:c r="C300" s="2" t="str">
        <x:v>Coca-Cola</x:v>
      </x:c>
      <x:c r="D300" s="2" t="n">
        <x:v>3</x:v>
      </x:c>
      <x:c r="E300" s="10" t="n">
        <x:v>5000</x:v>
      </x:c>
      <x:c r="F300" s="10" t="n">
        <x:v>15000</x:v>
      </x:c>
      <x:c r="G300" s="8" t="n">
        <x:f>INDEX('Órdenes'!$B$7:$B$334,MATCH(A300,'Órdenes'!$A$7:$A$334,0))</x:f>
        <x:v>46102</x:v>
      </x:c>
      <x:c r="H300" s="11" t="n">
        <x:f>DATE(YEAR(G300),MONTH(G300),1)</x:f>
        <x:v>46082</x:v>
      </x:c>
    </x:row>
    <x:row r="301" ht="23" customHeight="1">
      <x:c r="A301" s="2" t="str">
        <x:v>SIM-202603-036</x:v>
      </x:c>
      <x:c r="B301" s="2" t="str">
        <x:v>Perro caliente</x:v>
      </x:c>
      <x:c r="C301" s="2" t="str"/>
      <x:c r="D301" s="2" t="n">
        <x:v>1</x:v>
      </x:c>
      <x:c r="E301" s="10" t="n">
        <x:v>13000</x:v>
      </x:c>
      <x:c r="F301" s="10" t="n">
        <x:v>13000</x:v>
      </x:c>
      <x:c r="G301" s="8" t="n">
        <x:f>INDEX('Órdenes'!$B$7:$B$334,MATCH(A301,'Órdenes'!$A$7:$A$334,0))</x:f>
        <x:v>46103</x:v>
      </x:c>
      <x:c r="H301" s="11" t="n">
        <x:f>DATE(YEAR(G301),MONTH(G301),1)</x:f>
        <x:v>46082</x:v>
      </x:c>
    </x:row>
    <x:row r="302" ht="23" customHeight="1">
      <x:c r="A302" s="2" t="str">
        <x:v>SIM-202603-037</x:v>
      </x:c>
      <x:c r="B302" s="2" t="str">
        <x:v>Hamburguesa Clásica</x:v>
      </x:c>
      <x:c r="C302" s="2" t="str"/>
      <x:c r="D302" s="2" t="n">
        <x:v>1</x:v>
      </x:c>
      <x:c r="E302" s="10" t="n">
        <x:v>15000</x:v>
      </x:c>
      <x:c r="F302" s="10" t="n">
        <x:v>15000</x:v>
      </x:c>
      <x:c r="G302" s="8" t="n">
        <x:f>INDEX('Órdenes'!$B$7:$B$334,MATCH(A302,'Órdenes'!$A$7:$A$334,0))</x:f>
        <x:v>46108</x:v>
      </x:c>
      <x:c r="H302" s="11" t="n">
        <x:f>DATE(YEAR(G302),MONTH(G302),1)</x:f>
        <x:v>46082</x:v>
      </x:c>
    </x:row>
    <x:row r="303" ht="23" customHeight="1">
      <x:c r="A303" s="2" t="str">
        <x:v>SIM-202603-037</x:v>
      </x:c>
      <x:c r="B303" s="2" t="str">
        <x:v>Hamburguesa especial</x:v>
      </x:c>
      <x:c r="C303" s="2" t="str"/>
      <x:c r="D303" s="2" t="n">
        <x:v>1</x:v>
      </x:c>
      <x:c r="E303" s="10" t="n">
        <x:v>20000</x:v>
      </x:c>
      <x:c r="F303" s="10" t="n">
        <x:v>20000</x:v>
      </x:c>
      <x:c r="G303" s="8" t="n">
        <x:f>INDEX('Órdenes'!$B$7:$B$334,MATCH(A303,'Órdenes'!$A$7:$A$334,0))</x:f>
        <x:v>46108</x:v>
      </x:c>
      <x:c r="H303" s="11" t="n">
        <x:f>DATE(YEAR(G303),MONTH(G303),1)</x:f>
        <x:v>46082</x:v>
      </x:c>
    </x:row>
    <x:row r="304" ht="23" customHeight="1">
      <x:c r="A304" s="2" t="str">
        <x:v>SIM-202603-037</x:v>
      </x:c>
      <x:c r="B304" s="2" t="str">
        <x:v>Salchipapas</x:v>
      </x:c>
      <x:c r="C304" s="2" t="str"/>
      <x:c r="D304" s="2" t="n">
        <x:v>1</x:v>
      </x:c>
      <x:c r="E304" s="10" t="n">
        <x:v>12000</x:v>
      </x:c>
      <x:c r="F304" s="10" t="n">
        <x:v>12000</x:v>
      </x:c>
      <x:c r="G304" s="8" t="n">
        <x:f>INDEX('Órdenes'!$B$7:$B$334,MATCH(A304,'Órdenes'!$A$7:$A$334,0))</x:f>
        <x:v>46108</x:v>
      </x:c>
      <x:c r="H304" s="11" t="n">
        <x:f>DATE(YEAR(G304),MONTH(G304),1)</x:f>
        <x:v>46082</x:v>
      </x:c>
    </x:row>
    <x:row r="305" ht="23" customHeight="1">
      <x:c r="A305" s="2" t="str">
        <x:v>SIM-202603-037</x:v>
      </x:c>
      <x:c r="B305" s="2" t="str">
        <x:v>Gaseosas</x:v>
      </x:c>
      <x:c r="C305" s="2" t="str">
        <x:v>Coca-Cola</x:v>
      </x:c>
      <x:c r="D305" s="2" t="n">
        <x:v>1</x:v>
      </x:c>
      <x:c r="E305" s="10" t="n">
        <x:v>5000</x:v>
      </x:c>
      <x:c r="F305" s="10" t="n">
        <x:v>5000</x:v>
      </x:c>
      <x:c r="G305" s="8" t="n">
        <x:f>INDEX('Órdenes'!$B$7:$B$334,MATCH(A305,'Órdenes'!$A$7:$A$334,0))</x:f>
        <x:v>46108</x:v>
      </x:c>
      <x:c r="H305" s="11" t="n">
        <x:f>DATE(YEAR(G305),MONTH(G305),1)</x:f>
        <x:v>46082</x:v>
      </x:c>
    </x:row>
    <x:row r="306" ht="23" customHeight="1">
      <x:c r="A306" s="2" t="str">
        <x:v>SIM-202603-038</x:v>
      </x:c>
      <x:c r="B306" s="2" t="str">
        <x:v>Hamburguesa especial</x:v>
      </x:c>
      <x:c r="C306" s="2" t="str"/>
      <x:c r="D306" s="2" t="n">
        <x:v>2</x:v>
      </x:c>
      <x:c r="E306" s="10" t="n">
        <x:v>20000</x:v>
      </x:c>
      <x:c r="F306" s="10" t="n">
        <x:v>40000</x:v>
      </x:c>
      <x:c r="G306" s="8" t="n">
        <x:f>INDEX('Órdenes'!$B$7:$B$334,MATCH(A306,'Órdenes'!$A$7:$A$334,0))</x:f>
        <x:v>46109</x:v>
      </x:c>
      <x:c r="H306" s="11" t="n">
        <x:f>DATE(YEAR(G306),MONTH(G306),1)</x:f>
        <x:v>46082</x:v>
      </x:c>
    </x:row>
    <x:row r="307" ht="23" customHeight="1">
      <x:c r="A307" s="2" t="str">
        <x:v>SIM-202603-038</x:v>
      </x:c>
      <x:c r="B307" s="2" t="str">
        <x:v>Salchipapas</x:v>
      </x:c>
      <x:c r="C307" s="2" t="str"/>
      <x:c r="D307" s="2" t="n">
        <x:v>2</x:v>
      </x:c>
      <x:c r="E307" s="10" t="n">
        <x:v>12000</x:v>
      </x:c>
      <x:c r="F307" s="10" t="n">
        <x:v>24000</x:v>
      </x:c>
      <x:c r="G307" s="8" t="n">
        <x:f>INDEX('Órdenes'!$B$7:$B$334,MATCH(A307,'Órdenes'!$A$7:$A$334,0))</x:f>
        <x:v>46109</x:v>
      </x:c>
      <x:c r="H307" s="11" t="n">
        <x:f>DATE(YEAR(G307),MONTH(G307),1)</x:f>
        <x:v>46082</x:v>
      </x:c>
    </x:row>
    <x:row r="308" ht="23" customHeight="1">
      <x:c r="A308" s="2" t="str">
        <x:v>SIM-202603-038</x:v>
      </x:c>
      <x:c r="B308" s="2" t="str">
        <x:v>Gaseosas</x:v>
      </x:c>
      <x:c r="C308" s="2" t="str">
        <x:v>Coca-Cola</x:v>
      </x:c>
      <x:c r="D308" s="2" t="n">
        <x:v>2</x:v>
      </x:c>
      <x:c r="E308" s="10" t="n">
        <x:v>5000</x:v>
      </x:c>
      <x:c r="F308" s="10" t="n">
        <x:v>10000</x:v>
      </x:c>
      <x:c r="G308" s="8" t="n">
        <x:f>INDEX('Órdenes'!$B$7:$B$334,MATCH(A308,'Órdenes'!$A$7:$A$334,0))</x:f>
        <x:v>46109</x:v>
      </x:c>
      <x:c r="H308" s="11" t="n">
        <x:f>DATE(YEAR(G308),MONTH(G308),1)</x:f>
        <x:v>46082</x:v>
      </x:c>
    </x:row>
    <x:row r="309" ht="23" customHeight="1">
      <x:c r="A309" s="2" t="str">
        <x:v>SIM-202603-039</x:v>
      </x:c>
      <x:c r="B309" s="2" t="str">
        <x:v>Hamburguesa especial</x:v>
      </x:c>
      <x:c r="C309" s="2" t="str"/>
      <x:c r="D309" s="2" t="n">
        <x:v>1</x:v>
      </x:c>
      <x:c r="E309" s="10" t="n">
        <x:v>20000</x:v>
      </x:c>
      <x:c r="F309" s="10" t="n">
        <x:v>20000</x:v>
      </x:c>
      <x:c r="G309" s="8" t="n">
        <x:f>INDEX('Órdenes'!$B$7:$B$334,MATCH(A309,'Órdenes'!$A$7:$A$334,0))</x:f>
        <x:v>46109</x:v>
      </x:c>
      <x:c r="H309" s="11" t="n">
        <x:f>DATE(YEAR(G309),MONTH(G309),1)</x:f>
        <x:v>46082</x:v>
      </x:c>
    </x:row>
    <x:row r="310" ht="23" customHeight="1">
      <x:c r="A310" s="2" t="str">
        <x:v>SIM-202603-039</x:v>
      </x:c>
      <x:c r="B310" s="2" t="str">
        <x:v>Perro caliente</x:v>
      </x:c>
      <x:c r="C310" s="2" t="str"/>
      <x:c r="D310" s="2" t="n">
        <x:v>1</x:v>
      </x:c>
      <x:c r="E310" s="10" t="n">
        <x:v>13000</x:v>
      </x:c>
      <x:c r="F310" s="10" t="n">
        <x:v>13000</x:v>
      </x:c>
      <x:c r="G310" s="8" t="n">
        <x:f>INDEX('Órdenes'!$B$7:$B$334,MATCH(A310,'Órdenes'!$A$7:$A$334,0))</x:f>
        <x:v>46109</x:v>
      </x:c>
      <x:c r="H310" s="11" t="n">
        <x:f>DATE(YEAR(G310),MONTH(G310),1)</x:f>
        <x:v>46082</x:v>
      </x:c>
    </x:row>
    <x:row r="311" ht="23" customHeight="1">
      <x:c r="A311" s="2" t="str">
        <x:v>SIM-202603-039</x:v>
      </x:c>
      <x:c r="B311" s="2" t="str">
        <x:v>Gaseosas</x:v>
      </x:c>
      <x:c r="C311" s="2" t="str">
        <x:v>Coca-Cola</x:v>
      </x:c>
      <x:c r="D311" s="2" t="n">
        <x:v>1</x:v>
      </x:c>
      <x:c r="E311" s="10" t="n">
        <x:v>5000</x:v>
      </x:c>
      <x:c r="F311" s="10" t="n">
        <x:v>5000</x:v>
      </x:c>
      <x:c r="G311" s="8" t="n">
        <x:f>INDEX('Órdenes'!$B$7:$B$334,MATCH(A311,'Órdenes'!$A$7:$A$334,0))</x:f>
        <x:v>46109</x:v>
      </x:c>
      <x:c r="H311" s="11" t="n">
        <x:f>DATE(YEAR(G311),MONTH(G311),1)</x:f>
        <x:v>46082</x:v>
      </x:c>
    </x:row>
    <x:row r="312" ht="23" customHeight="1">
      <x:c r="A312" s="2" t="str">
        <x:v>SIM-202603-039</x:v>
      </x:c>
      <x:c r="B312" s="2" t="str">
        <x:v>Gaseosas</x:v>
      </x:c>
      <x:c r="C312" s="2" t="str">
        <x:v>Manzana</x:v>
      </x:c>
      <x:c r="D312" s="2" t="n">
        <x:v>1</x:v>
      </x:c>
      <x:c r="E312" s="10" t="n">
        <x:v>5000</x:v>
      </x:c>
      <x:c r="F312" s="10" t="n">
        <x:v>5000</x:v>
      </x:c>
      <x:c r="G312" s="8" t="n">
        <x:f>INDEX('Órdenes'!$B$7:$B$334,MATCH(A312,'Órdenes'!$A$7:$A$334,0))</x:f>
        <x:v>46109</x:v>
      </x:c>
      <x:c r="H312" s="11" t="n">
        <x:f>DATE(YEAR(G312),MONTH(G312),1)</x:f>
        <x:v>46082</x:v>
      </x:c>
    </x:row>
    <x:row r="313" ht="23" customHeight="1">
      <x:c r="A313" s="2" t="str">
        <x:v>SIM-202603-040</x:v>
      </x:c>
      <x:c r="B313" s="2" t="str">
        <x:v>Hamburguesa especial</x:v>
      </x:c>
      <x:c r="C313" s="2" t="str"/>
      <x:c r="D313" s="2" t="n">
        <x:v>1</x:v>
      </x:c>
      <x:c r="E313" s="10" t="n">
        <x:v>20000</x:v>
      </x:c>
      <x:c r="F313" s="10" t="n">
        <x:v>20000</x:v>
      </x:c>
      <x:c r="G313" s="8" t="n">
        <x:f>INDEX('Órdenes'!$B$7:$B$334,MATCH(A313,'Órdenes'!$A$7:$A$334,0))</x:f>
        <x:v>46112</x:v>
      </x:c>
      <x:c r="H313" s="11" t="n">
        <x:f>DATE(YEAR(G313),MONTH(G313),1)</x:f>
        <x:v>46082</x:v>
      </x:c>
    </x:row>
    <x:row r="314" ht="23" customHeight="1">
      <x:c r="A314" s="2" t="str">
        <x:v>SIM-202603-040</x:v>
      </x:c>
      <x:c r="B314" s="2" t="str">
        <x:v>Gaseosas</x:v>
      </x:c>
      <x:c r="C314" s="2" t="str">
        <x:v>Sprite</x:v>
      </x:c>
      <x:c r="D314" s="2" t="n">
        <x:v>1</x:v>
      </x:c>
      <x:c r="E314" s="10" t="n">
        <x:v>5000</x:v>
      </x:c>
      <x:c r="F314" s="10" t="n">
        <x:v>5000</x:v>
      </x:c>
      <x:c r="G314" s="8" t="n">
        <x:f>INDEX('Órdenes'!$B$7:$B$334,MATCH(A314,'Órdenes'!$A$7:$A$334,0))</x:f>
        <x:v>46112</x:v>
      </x:c>
      <x:c r="H314" s="11" t="n">
        <x:f>DATE(YEAR(G314),MONTH(G314),1)</x:f>
        <x:v>46082</x:v>
      </x:c>
    </x:row>
    <x:row r="315" ht="23" customHeight="1">
      <x:c r="A315" s="2" t="str">
        <x:v>SIM-202604-001</x:v>
      </x:c>
      <x:c r="B315" s="2" t="str">
        <x:v>Hamburguesa Clásica</x:v>
      </x:c>
      <x:c r="C315" s="2" t="str"/>
      <x:c r="D315" s="2" t="n">
        <x:v>1</x:v>
      </x:c>
      <x:c r="E315" s="10" t="n">
        <x:v>15000</x:v>
      </x:c>
      <x:c r="F315" s="10" t="n">
        <x:v>15000</x:v>
      </x:c>
      <x:c r="G315" s="8" t="n">
        <x:f>INDEX('Órdenes'!$B$7:$B$334,MATCH(A315,'Órdenes'!$A$7:$A$334,0))</x:f>
        <x:v>46114</x:v>
      </x:c>
      <x:c r="H315" s="11" t="n">
        <x:f>DATE(YEAR(G315),MONTH(G315),1)</x:f>
        <x:v>46113</x:v>
      </x:c>
    </x:row>
    <x:row r="316" ht="23" customHeight="1">
      <x:c r="A316" s="2" t="str">
        <x:v>SIM-202604-001</x:v>
      </x:c>
      <x:c r="B316" s="2" t="str">
        <x:v>Gaseosas</x:v>
      </x:c>
      <x:c r="C316" s="2" t="str">
        <x:v>Coca-Cola</x:v>
      </x:c>
      <x:c r="D316" s="2" t="n">
        <x:v>1</x:v>
      </x:c>
      <x:c r="E316" s="10" t="n">
        <x:v>5000</x:v>
      </x:c>
      <x:c r="F316" s="10" t="n">
        <x:v>5000</x:v>
      </x:c>
      <x:c r="G316" s="8" t="n">
        <x:f>INDEX('Órdenes'!$B$7:$B$334,MATCH(A316,'Órdenes'!$A$7:$A$334,0))</x:f>
        <x:v>46114</x:v>
      </x:c>
      <x:c r="H316" s="11" t="n">
        <x:f>DATE(YEAR(G316),MONTH(G316),1)</x:f>
        <x:v>46113</x:v>
      </x:c>
    </x:row>
    <x:row r="317" ht="23" customHeight="1">
      <x:c r="A317" s="2" t="str">
        <x:v>SIM-202604-002</x:v>
      </x:c>
      <x:c r="B317" s="2" t="str">
        <x:v>Hamburguesa Clásica</x:v>
      </x:c>
      <x:c r="C317" s="2" t="str"/>
      <x:c r="D317" s="2" t="n">
        <x:v>1</x:v>
      </x:c>
      <x:c r="E317" s="10" t="n">
        <x:v>15000</x:v>
      </x:c>
      <x:c r="F317" s="10" t="n">
        <x:v>15000</x:v>
      </x:c>
      <x:c r="G317" s="8" t="n">
        <x:f>INDEX('Órdenes'!$B$7:$B$334,MATCH(A317,'Órdenes'!$A$7:$A$334,0))</x:f>
        <x:v>46115</x:v>
      </x:c>
      <x:c r="H317" s="11" t="n">
        <x:f>DATE(YEAR(G317),MONTH(G317),1)</x:f>
        <x:v>46113</x:v>
      </x:c>
    </x:row>
    <x:row r="318" ht="23" customHeight="1">
      <x:c r="A318" s="2" t="str">
        <x:v>SIM-202604-002</x:v>
      </x:c>
      <x:c r="B318" s="2" t="str">
        <x:v>Perro caliente</x:v>
      </x:c>
      <x:c r="C318" s="2" t="str"/>
      <x:c r="D318" s="2" t="n">
        <x:v>1</x:v>
      </x:c>
      <x:c r="E318" s="10" t="n">
        <x:v>13000</x:v>
      </x:c>
      <x:c r="F318" s="10" t="n">
        <x:v>13000</x:v>
      </x:c>
      <x:c r="G318" s="8" t="n">
        <x:f>INDEX('Órdenes'!$B$7:$B$334,MATCH(A318,'Órdenes'!$A$7:$A$334,0))</x:f>
        <x:v>46115</x:v>
      </x:c>
      <x:c r="H318" s="11" t="n">
        <x:f>DATE(YEAR(G318),MONTH(G318),1)</x:f>
        <x:v>46113</x:v>
      </x:c>
    </x:row>
    <x:row r="319" ht="23" customHeight="1">
      <x:c r="A319" s="2" t="str">
        <x:v>SIM-202604-002</x:v>
      </x:c>
      <x:c r="B319" s="2" t="str">
        <x:v>Gaseosas</x:v>
      </x:c>
      <x:c r="C319" s="2" t="str">
        <x:v>Coca-Cola</x:v>
      </x:c>
      <x:c r="D319" s="2" t="n">
        <x:v>2</x:v>
      </x:c>
      <x:c r="E319" s="10" t="n">
        <x:v>5000</x:v>
      </x:c>
      <x:c r="F319" s="10" t="n">
        <x:v>10000</x:v>
      </x:c>
      <x:c r="G319" s="8" t="n">
        <x:f>INDEX('Órdenes'!$B$7:$B$334,MATCH(A319,'Órdenes'!$A$7:$A$334,0))</x:f>
        <x:v>46115</x:v>
      </x:c>
      <x:c r="H319" s="11" t="n">
        <x:f>DATE(YEAR(G319),MONTH(G319),1)</x:f>
        <x:v>46113</x:v>
      </x:c>
    </x:row>
    <x:row r="320" ht="23" customHeight="1">
      <x:c r="A320" s="2" t="str">
        <x:v>SIM-202604-003</x:v>
      </x:c>
      <x:c r="B320" s="2" t="str">
        <x:v>Hamburguesa Clásica</x:v>
      </x:c>
      <x:c r="C320" s="2" t="str"/>
      <x:c r="D320" s="2" t="n">
        <x:v>2</x:v>
      </x:c>
      <x:c r="E320" s="10" t="n">
        <x:v>15000</x:v>
      </x:c>
      <x:c r="F320" s="10" t="n">
        <x:v>30000</x:v>
      </x:c>
      <x:c r="G320" s="8" t="n">
        <x:f>INDEX('Órdenes'!$B$7:$B$334,MATCH(A320,'Órdenes'!$A$7:$A$334,0))</x:f>
        <x:v>46115</x:v>
      </x:c>
      <x:c r="H320" s="11" t="n">
        <x:f>DATE(YEAR(G320),MONTH(G320),1)</x:f>
        <x:v>46113</x:v>
      </x:c>
    </x:row>
    <x:row r="321" ht="23" customHeight="1">
      <x:c r="A321" s="2" t="str">
        <x:v>SIM-202604-003</x:v>
      </x:c>
      <x:c r="B321" s="2" t="str">
        <x:v>Salchipapas</x:v>
      </x:c>
      <x:c r="C321" s="2" t="str"/>
      <x:c r="D321" s="2" t="n">
        <x:v>1</x:v>
      </x:c>
      <x:c r="E321" s="10" t="n">
        <x:v>12000</x:v>
      </x:c>
      <x:c r="F321" s="10" t="n">
        <x:v>12000</x:v>
      </x:c>
      <x:c r="G321" s="8" t="n">
        <x:f>INDEX('Órdenes'!$B$7:$B$334,MATCH(A321,'Órdenes'!$A$7:$A$334,0))</x:f>
        <x:v>46115</x:v>
      </x:c>
      <x:c r="H321" s="11" t="n">
        <x:f>DATE(YEAR(G321),MONTH(G321),1)</x:f>
        <x:v>46113</x:v>
      </x:c>
    </x:row>
    <x:row r="322" ht="23" customHeight="1">
      <x:c r="A322" s="2" t="str">
        <x:v>SIM-202604-003</x:v>
      </x:c>
      <x:c r="B322" s="2" t="str">
        <x:v>Gaseosas</x:v>
      </x:c>
      <x:c r="C322" s="2" t="str">
        <x:v>Coca-Cola</x:v>
      </x:c>
      <x:c r="D322" s="2" t="n">
        <x:v>2</x:v>
      </x:c>
      <x:c r="E322" s="10" t="n">
        <x:v>5000</x:v>
      </x:c>
      <x:c r="F322" s="10" t="n">
        <x:v>10000</x:v>
      </x:c>
      <x:c r="G322" s="8" t="n">
        <x:f>INDEX('Órdenes'!$B$7:$B$334,MATCH(A322,'Órdenes'!$A$7:$A$334,0))</x:f>
        <x:v>46115</x:v>
      </x:c>
      <x:c r="H322" s="11" t="n">
        <x:f>DATE(YEAR(G322),MONTH(G322),1)</x:f>
        <x:v>46113</x:v>
      </x:c>
    </x:row>
    <x:row r="323" ht="23" customHeight="1">
      <x:c r="A323" s="2" t="str">
        <x:v>SIM-202604-003</x:v>
      </x:c>
      <x:c r="B323" s="2" t="str">
        <x:v>Gaseosas</x:v>
      </x:c>
      <x:c r="C323" s="2" t="str">
        <x:v>Sprite</x:v>
      </x:c>
      <x:c r="D323" s="2" t="n">
        <x:v>1</x:v>
      </x:c>
      <x:c r="E323" s="10" t="n">
        <x:v>5000</x:v>
      </x:c>
      <x:c r="F323" s="10" t="n">
        <x:v>5000</x:v>
      </x:c>
      <x:c r="G323" s="8" t="n">
        <x:f>INDEX('Órdenes'!$B$7:$B$334,MATCH(A323,'Órdenes'!$A$7:$A$334,0))</x:f>
        <x:v>46115</x:v>
      </x:c>
      <x:c r="H323" s="11" t="n">
        <x:f>DATE(YEAR(G323),MONTH(G323),1)</x:f>
        <x:v>46113</x:v>
      </x:c>
    </x:row>
    <x:row r="324" ht="23" customHeight="1">
      <x:c r="A324" s="2" t="str">
        <x:v>SIM-202604-004</x:v>
      </x:c>
      <x:c r="B324" s="2" t="str">
        <x:v>Hamburguesa Clásica</x:v>
      </x:c>
      <x:c r="C324" s="2" t="str"/>
      <x:c r="D324" s="2" t="n">
        <x:v>1</x:v>
      </x:c>
      <x:c r="E324" s="10" t="n">
        <x:v>15000</x:v>
      </x:c>
      <x:c r="F324" s="10" t="n">
        <x:v>15000</x:v>
      </x:c>
      <x:c r="G324" s="8" t="n">
        <x:f>INDEX('Órdenes'!$B$7:$B$334,MATCH(A324,'Órdenes'!$A$7:$A$334,0))</x:f>
        <x:v>46116</x:v>
      </x:c>
      <x:c r="H324" s="11" t="n">
        <x:f>DATE(YEAR(G324),MONTH(G324),1)</x:f>
        <x:v>46113</x:v>
      </x:c>
    </x:row>
    <x:row r="325" ht="23" customHeight="1">
      <x:c r="A325" s="2" t="str">
        <x:v>SIM-202604-004</x:v>
      </x:c>
      <x:c r="B325" s="2" t="str">
        <x:v>Hamburguesa especial</x:v>
      </x:c>
      <x:c r="C325" s="2" t="str"/>
      <x:c r="D325" s="2" t="n">
        <x:v>1</x:v>
      </x:c>
      <x:c r="E325" s="10" t="n">
        <x:v>20000</x:v>
      </x:c>
      <x:c r="F325" s="10" t="n">
        <x:v>20000</x:v>
      </x:c>
      <x:c r="G325" s="8" t="n">
        <x:f>INDEX('Órdenes'!$B$7:$B$334,MATCH(A325,'Órdenes'!$A$7:$A$334,0))</x:f>
        <x:v>46116</x:v>
      </x:c>
      <x:c r="H325" s="11" t="n">
        <x:f>DATE(YEAR(G325),MONTH(G325),1)</x:f>
        <x:v>46113</x:v>
      </x:c>
    </x:row>
    <x:row r="326" ht="23" customHeight="1">
      <x:c r="A326" s="2" t="str">
        <x:v>SIM-202604-004</x:v>
      </x:c>
      <x:c r="B326" s="2" t="str">
        <x:v>Gaseosas</x:v>
      </x:c>
      <x:c r="C326" s="2" t="str">
        <x:v>Coca-Cola</x:v>
      </x:c>
      <x:c r="D326" s="2" t="n">
        <x:v>1</x:v>
      </x:c>
      <x:c r="E326" s="10" t="n">
        <x:v>5000</x:v>
      </x:c>
      <x:c r="F326" s="10" t="n">
        <x:v>5000</x:v>
      </x:c>
      <x:c r="G326" s="8" t="n">
        <x:f>INDEX('Órdenes'!$B$7:$B$334,MATCH(A326,'Órdenes'!$A$7:$A$334,0))</x:f>
        <x:v>46116</x:v>
      </x:c>
      <x:c r="H326" s="11" t="n">
        <x:f>DATE(YEAR(G326),MONTH(G326),1)</x:f>
        <x:v>46113</x:v>
      </x:c>
    </x:row>
    <x:row r="327" ht="23" customHeight="1">
      <x:c r="A327" s="2" t="str">
        <x:v>SIM-202604-004</x:v>
      </x:c>
      <x:c r="B327" s="2" t="str">
        <x:v>Gaseosas</x:v>
      </x:c>
      <x:c r="C327" s="2" t="str">
        <x:v>Sprite</x:v>
      </x:c>
      <x:c r="D327" s="2" t="n">
        <x:v>1</x:v>
      </x:c>
      <x:c r="E327" s="10" t="n">
        <x:v>5000</x:v>
      </x:c>
      <x:c r="F327" s="10" t="n">
        <x:v>5000</x:v>
      </x:c>
      <x:c r="G327" s="8" t="n">
        <x:f>INDEX('Órdenes'!$B$7:$B$334,MATCH(A327,'Órdenes'!$A$7:$A$334,0))</x:f>
        <x:v>46116</x:v>
      </x:c>
      <x:c r="H327" s="11" t="n">
        <x:f>DATE(YEAR(G327),MONTH(G327),1)</x:f>
        <x:v>46113</x:v>
      </x:c>
    </x:row>
    <x:row r="328" ht="23" customHeight="1">
      <x:c r="A328" s="2" t="str">
        <x:v>SIM-202604-005</x:v>
      </x:c>
      <x:c r="B328" s="2" t="str">
        <x:v>Hamburguesa especial</x:v>
      </x:c>
      <x:c r="C328" s="2" t="str"/>
      <x:c r="D328" s="2" t="n">
        <x:v>4</x:v>
      </x:c>
      <x:c r="E328" s="10" t="n">
        <x:v>20000</x:v>
      </x:c>
      <x:c r="F328" s="10" t="n">
        <x:v>80000</x:v>
      </x:c>
      <x:c r="G328" s="8" t="n">
        <x:f>INDEX('Órdenes'!$B$7:$B$334,MATCH(A328,'Órdenes'!$A$7:$A$334,0))</x:f>
        <x:v>46116</x:v>
      </x:c>
      <x:c r="H328" s="11" t="n">
        <x:f>DATE(YEAR(G328),MONTH(G328),1)</x:f>
        <x:v>46113</x:v>
      </x:c>
    </x:row>
    <x:row r="329" ht="23" customHeight="1">
      <x:c r="A329" s="2" t="str">
        <x:v>SIM-202604-005</x:v>
      </x:c>
      <x:c r="B329" s="2" t="str">
        <x:v>Gaseosas</x:v>
      </x:c>
      <x:c r="C329" s="2" t="str">
        <x:v>Coca-Cola</x:v>
      </x:c>
      <x:c r="D329" s="2" t="n">
        <x:v>3</x:v>
      </x:c>
      <x:c r="E329" s="10" t="n">
        <x:v>5000</x:v>
      </x:c>
      <x:c r="F329" s="10" t="n">
        <x:v>15000</x:v>
      </x:c>
      <x:c r="G329" s="8" t="n">
        <x:f>INDEX('Órdenes'!$B$7:$B$334,MATCH(A329,'Órdenes'!$A$7:$A$334,0))</x:f>
        <x:v>46116</x:v>
      </x:c>
      <x:c r="H329" s="11" t="n">
        <x:f>DATE(YEAR(G329),MONTH(G329),1)</x:f>
        <x:v>46113</x:v>
      </x:c>
    </x:row>
    <x:row r="330" ht="23" customHeight="1">
      <x:c r="A330" s="2" t="str">
        <x:v>SIM-202604-006</x:v>
      </x:c>
      <x:c r="B330" s="2" t="str">
        <x:v>Hamburguesa Clásica</x:v>
      </x:c>
      <x:c r="C330" s="2" t="str"/>
      <x:c r="D330" s="2" t="n">
        <x:v>1</x:v>
      </x:c>
      <x:c r="E330" s="10" t="n">
        <x:v>15000</x:v>
      </x:c>
      <x:c r="F330" s="10" t="n">
        <x:v>15000</x:v>
      </x:c>
      <x:c r="G330" s="8" t="n">
        <x:f>INDEX('Órdenes'!$B$7:$B$334,MATCH(A330,'Órdenes'!$A$7:$A$334,0))</x:f>
        <x:v>46116</x:v>
      </x:c>
      <x:c r="H330" s="11" t="n">
        <x:f>DATE(YEAR(G330),MONTH(G330),1)</x:f>
        <x:v>46113</x:v>
      </x:c>
    </x:row>
    <x:row r="331" ht="23" customHeight="1">
      <x:c r="A331" s="2" t="str">
        <x:v>SIM-202604-006</x:v>
      </x:c>
      <x:c r="B331" s="2" t="str">
        <x:v>Gaseosas</x:v>
      </x:c>
      <x:c r="C331" s="2" t="str">
        <x:v>Coca-Cola</x:v>
      </x:c>
      <x:c r="D331" s="2" t="n">
        <x:v>1</x:v>
      </x:c>
      <x:c r="E331" s="10" t="n">
        <x:v>5000</x:v>
      </x:c>
      <x:c r="F331" s="10" t="n">
        <x:v>5000</x:v>
      </x:c>
      <x:c r="G331" s="8" t="n">
        <x:f>INDEX('Órdenes'!$B$7:$B$334,MATCH(A331,'Órdenes'!$A$7:$A$334,0))</x:f>
        <x:v>46116</x:v>
      </x:c>
      <x:c r="H331" s="11" t="n">
        <x:f>DATE(YEAR(G331),MONTH(G331),1)</x:f>
        <x:v>46113</x:v>
      </x:c>
    </x:row>
    <x:row r="332" ht="23" customHeight="1">
      <x:c r="A332" s="2" t="str">
        <x:v>SIM-202604-007</x:v>
      </x:c>
      <x:c r="B332" s="2" t="str">
        <x:v>Hamburguesa Clásica</x:v>
      </x:c>
      <x:c r="C332" s="2" t="str"/>
      <x:c r="D332" s="2" t="n">
        <x:v>2</x:v>
      </x:c>
      <x:c r="E332" s="10" t="n">
        <x:v>15000</x:v>
      </x:c>
      <x:c r="F332" s="10" t="n">
        <x:v>30000</x:v>
      </x:c>
      <x:c r="G332" s="8" t="n">
        <x:f>INDEX('Órdenes'!$B$7:$B$334,MATCH(A332,'Órdenes'!$A$7:$A$334,0))</x:f>
        <x:v>46116</x:v>
      </x:c>
      <x:c r="H332" s="11" t="n">
        <x:f>DATE(YEAR(G332),MONTH(G332),1)</x:f>
        <x:v>46113</x:v>
      </x:c>
    </x:row>
    <x:row r="333" ht="23" customHeight="1">
      <x:c r="A333" s="2" t="str">
        <x:v>SIM-202604-007</x:v>
      </x:c>
      <x:c r="B333" s="2" t="str">
        <x:v>Gaseosas</x:v>
      </x:c>
      <x:c r="C333" s="2" t="str">
        <x:v>Coca-Cola</x:v>
      </x:c>
      <x:c r="D333" s="2" t="n">
        <x:v>1</x:v>
      </x:c>
      <x:c r="E333" s="10" t="n">
        <x:v>5000</x:v>
      </x:c>
      <x:c r="F333" s="10" t="n">
        <x:v>5000</x:v>
      </x:c>
      <x:c r="G333" s="8" t="n">
        <x:f>INDEX('Órdenes'!$B$7:$B$334,MATCH(A333,'Órdenes'!$A$7:$A$334,0))</x:f>
        <x:v>46116</x:v>
      </x:c>
      <x:c r="H333" s="11" t="n">
        <x:f>DATE(YEAR(G333),MONTH(G333),1)</x:f>
        <x:v>46113</x:v>
      </x:c>
    </x:row>
    <x:row r="334" ht="23" customHeight="1">
      <x:c r="A334" s="2" t="str">
        <x:v>SIM-202604-007</x:v>
      </x:c>
      <x:c r="B334" s="2" t="str">
        <x:v>Gaseosas</x:v>
      </x:c>
      <x:c r="C334" s="2" t="str">
        <x:v>Sprite</x:v>
      </x:c>
      <x:c r="D334" s="2" t="n">
        <x:v>1</x:v>
      </x:c>
      <x:c r="E334" s="10" t="n">
        <x:v>5000</x:v>
      </x:c>
      <x:c r="F334" s="10" t="n">
        <x:v>5000</x:v>
      </x:c>
      <x:c r="G334" s="8" t="n">
        <x:f>INDEX('Órdenes'!$B$7:$B$334,MATCH(A334,'Órdenes'!$A$7:$A$334,0))</x:f>
        <x:v>46116</x:v>
      </x:c>
      <x:c r="H334" s="11" t="n">
        <x:f>DATE(YEAR(G334),MONTH(G334),1)</x:f>
        <x:v>46113</x:v>
      </x:c>
    </x:row>
    <x:row r="335" ht="23" customHeight="1">
      <x:c r="A335" s="2" t="str">
        <x:v>SIM-202604-008</x:v>
      </x:c>
      <x:c r="B335" s="2" t="str">
        <x:v>Hamburguesa Clásica</x:v>
      </x:c>
      <x:c r="C335" s="2" t="str"/>
      <x:c r="D335" s="2" t="n">
        <x:v>1</x:v>
      </x:c>
      <x:c r="E335" s="10" t="n">
        <x:v>15000</x:v>
      </x:c>
      <x:c r="F335" s="10" t="n">
        <x:v>15000</x:v>
      </x:c>
      <x:c r="G335" s="8" t="n">
        <x:f>INDEX('Órdenes'!$B$7:$B$334,MATCH(A335,'Órdenes'!$A$7:$A$334,0))</x:f>
        <x:v>46117</x:v>
      </x:c>
      <x:c r="H335" s="11" t="n">
        <x:f>DATE(YEAR(G335),MONTH(G335),1)</x:f>
        <x:v>46113</x:v>
      </x:c>
    </x:row>
    <x:row r="336" ht="23" customHeight="1">
      <x:c r="A336" s="2" t="str">
        <x:v>SIM-202604-008</x:v>
      </x:c>
      <x:c r="B336" s="2" t="str">
        <x:v>Hamburguesa especial</x:v>
      </x:c>
      <x:c r="C336" s="2" t="str"/>
      <x:c r="D336" s="2" t="n">
        <x:v>1</x:v>
      </x:c>
      <x:c r="E336" s="10" t="n">
        <x:v>20000</x:v>
      </x:c>
      <x:c r="F336" s="10" t="n">
        <x:v>20000</x:v>
      </x:c>
      <x:c r="G336" s="8" t="n">
        <x:f>INDEX('Órdenes'!$B$7:$B$334,MATCH(A336,'Órdenes'!$A$7:$A$334,0))</x:f>
        <x:v>46117</x:v>
      </x:c>
      <x:c r="H336" s="11" t="n">
        <x:f>DATE(YEAR(G336),MONTH(G336),1)</x:f>
        <x:v>46113</x:v>
      </x:c>
    </x:row>
    <x:row r="337" ht="23" customHeight="1">
      <x:c r="A337" s="2" t="str">
        <x:v>SIM-202604-008</x:v>
      </x:c>
      <x:c r="B337" s="2" t="str">
        <x:v>Salchipapas</x:v>
      </x:c>
      <x:c r="C337" s="2" t="str"/>
      <x:c r="D337" s="2" t="n">
        <x:v>1</x:v>
      </x:c>
      <x:c r="E337" s="10" t="n">
        <x:v>12000</x:v>
      </x:c>
      <x:c r="F337" s="10" t="n">
        <x:v>12000</x:v>
      </x:c>
      <x:c r="G337" s="8" t="n">
        <x:f>INDEX('Órdenes'!$B$7:$B$334,MATCH(A337,'Órdenes'!$A$7:$A$334,0))</x:f>
        <x:v>46117</x:v>
      </x:c>
      <x:c r="H337" s="11" t="n">
        <x:f>DATE(YEAR(G337),MONTH(G337),1)</x:f>
        <x:v>46113</x:v>
      </x:c>
    </x:row>
    <x:row r="338" ht="23" customHeight="1">
      <x:c r="A338" s="2" t="str">
        <x:v>SIM-202604-008</x:v>
      </x:c>
      <x:c r="B338" s="2" t="str">
        <x:v>Gaseosas</x:v>
      </x:c>
      <x:c r="C338" s="2" t="str">
        <x:v>Coca-Cola</x:v>
      </x:c>
      <x:c r="D338" s="2" t="n">
        <x:v>2</x:v>
      </x:c>
      <x:c r="E338" s="10" t="n">
        <x:v>5000</x:v>
      </x:c>
      <x:c r="F338" s="10" t="n">
        <x:v>10000</x:v>
      </x:c>
      <x:c r="G338" s="8" t="n">
        <x:f>INDEX('Órdenes'!$B$7:$B$334,MATCH(A338,'Órdenes'!$A$7:$A$334,0))</x:f>
        <x:v>46117</x:v>
      </x:c>
      <x:c r="H338" s="11" t="n">
        <x:f>DATE(YEAR(G338),MONTH(G338),1)</x:f>
        <x:v>46113</x:v>
      </x:c>
    </x:row>
    <x:row r="339" ht="23" customHeight="1">
      <x:c r="A339" s="2" t="str">
        <x:v>SIM-202604-009</x:v>
      </x:c>
      <x:c r="B339" s="2" t="str">
        <x:v>Hamburguesa Clásica</x:v>
      </x:c>
      <x:c r="C339" s="2" t="str"/>
      <x:c r="D339" s="2" t="n">
        <x:v>1</x:v>
      </x:c>
      <x:c r="E339" s="10" t="n">
        <x:v>15000</x:v>
      </x:c>
      <x:c r="F339" s="10" t="n">
        <x:v>15000</x:v>
      </x:c>
      <x:c r="G339" s="8" t="n">
        <x:f>INDEX('Órdenes'!$B$7:$B$334,MATCH(A339,'Órdenes'!$A$7:$A$334,0))</x:f>
        <x:v>46119</x:v>
      </x:c>
      <x:c r="H339" s="11" t="n">
        <x:f>DATE(YEAR(G339),MONTH(G339),1)</x:f>
        <x:v>46113</x:v>
      </x:c>
    </x:row>
    <x:row r="340" ht="23" customHeight="1">
      <x:c r="A340" s="2" t="str">
        <x:v>SIM-202604-009</x:v>
      </x:c>
      <x:c r="B340" s="2" t="str">
        <x:v>Hamburguesa especial</x:v>
      </x:c>
      <x:c r="C340" s="2" t="str"/>
      <x:c r="D340" s="2" t="n">
        <x:v>1</x:v>
      </x:c>
      <x:c r="E340" s="10" t="n">
        <x:v>20000</x:v>
      </x:c>
      <x:c r="F340" s="10" t="n">
        <x:v>20000</x:v>
      </x:c>
      <x:c r="G340" s="8" t="n">
        <x:f>INDEX('Órdenes'!$B$7:$B$334,MATCH(A340,'Órdenes'!$A$7:$A$334,0))</x:f>
        <x:v>46119</x:v>
      </x:c>
      <x:c r="H340" s="11" t="n">
        <x:f>DATE(YEAR(G340),MONTH(G340),1)</x:f>
        <x:v>46113</x:v>
      </x:c>
    </x:row>
    <x:row r="341" ht="23" customHeight="1">
      <x:c r="A341" s="2" t="str">
        <x:v>SIM-202604-009</x:v>
      </x:c>
      <x:c r="B341" s="2" t="str">
        <x:v>Gaseosas</x:v>
      </x:c>
      <x:c r="C341" s="2" t="str">
        <x:v>Coca-Cola</x:v>
      </x:c>
      <x:c r="D341" s="2" t="n">
        <x:v>1</x:v>
      </x:c>
      <x:c r="E341" s="10" t="n">
        <x:v>5000</x:v>
      </x:c>
      <x:c r="F341" s="10" t="n">
        <x:v>5000</x:v>
      </x:c>
      <x:c r="G341" s="8" t="n">
        <x:f>INDEX('Órdenes'!$B$7:$B$334,MATCH(A341,'Órdenes'!$A$7:$A$334,0))</x:f>
        <x:v>46119</x:v>
      </x:c>
      <x:c r="H341" s="11" t="n">
        <x:f>DATE(YEAR(G341),MONTH(G341),1)</x:f>
        <x:v>46113</x:v>
      </x:c>
    </x:row>
    <x:row r="342" ht="23" customHeight="1">
      <x:c r="A342" s="2" t="str">
        <x:v>SIM-202604-009</x:v>
      </x:c>
      <x:c r="B342" s="2" t="str">
        <x:v>Gaseosas</x:v>
      </x:c>
      <x:c r="C342" s="2" t="str">
        <x:v>Sprite</x:v>
      </x:c>
      <x:c r="D342" s="2" t="n">
        <x:v>1</x:v>
      </x:c>
      <x:c r="E342" s="10" t="n">
        <x:v>5000</x:v>
      </x:c>
      <x:c r="F342" s="10" t="n">
        <x:v>5000</x:v>
      </x:c>
      <x:c r="G342" s="8" t="n">
        <x:f>INDEX('Órdenes'!$B$7:$B$334,MATCH(A342,'Órdenes'!$A$7:$A$334,0))</x:f>
        <x:v>46119</x:v>
      </x:c>
      <x:c r="H342" s="11" t="n">
        <x:f>DATE(YEAR(G342),MONTH(G342),1)</x:f>
        <x:v>46113</x:v>
      </x:c>
    </x:row>
    <x:row r="343" ht="23" customHeight="1">
      <x:c r="A343" s="2" t="str">
        <x:v>SIM-202604-010</x:v>
      </x:c>
      <x:c r="B343" s="2" t="str">
        <x:v>Hamburguesa especial</x:v>
      </x:c>
      <x:c r="C343" s="2" t="str"/>
      <x:c r="D343" s="2" t="n">
        <x:v>1</x:v>
      </x:c>
      <x:c r="E343" s="10" t="n">
        <x:v>20000</x:v>
      </x:c>
      <x:c r="F343" s="10" t="n">
        <x:v>20000</x:v>
      </x:c>
      <x:c r="G343" s="8" t="n">
        <x:f>INDEX('Órdenes'!$B$7:$B$334,MATCH(A343,'Órdenes'!$A$7:$A$334,0))</x:f>
        <x:v>46119</x:v>
      </x:c>
      <x:c r="H343" s="11" t="n">
        <x:f>DATE(YEAR(G343),MONTH(G343),1)</x:f>
        <x:v>46113</x:v>
      </x:c>
    </x:row>
    <x:row r="344" ht="23" customHeight="1">
      <x:c r="A344" s="2" t="str">
        <x:v>SIM-202604-010</x:v>
      </x:c>
      <x:c r="B344" s="2" t="str">
        <x:v>Gaseosas</x:v>
      </x:c>
      <x:c r="C344" s="2" t="str">
        <x:v>Sprite</x:v>
      </x:c>
      <x:c r="D344" s="2" t="n">
        <x:v>1</x:v>
      </x:c>
      <x:c r="E344" s="10" t="n">
        <x:v>5000</x:v>
      </x:c>
      <x:c r="F344" s="10" t="n">
        <x:v>5000</x:v>
      </x:c>
      <x:c r="G344" s="8" t="n">
        <x:f>INDEX('Órdenes'!$B$7:$B$334,MATCH(A344,'Órdenes'!$A$7:$A$334,0))</x:f>
        <x:v>46119</x:v>
      </x:c>
      <x:c r="H344" s="11" t="n">
        <x:f>DATE(YEAR(G344),MONTH(G344),1)</x:f>
        <x:v>46113</x:v>
      </x:c>
    </x:row>
    <x:row r="345" ht="23" customHeight="1">
      <x:c r="A345" s="2" t="str">
        <x:v>SIM-202604-011</x:v>
      </x:c>
      <x:c r="B345" s="2" t="str">
        <x:v>Hamburguesa Clásica</x:v>
      </x:c>
      <x:c r="C345" s="2" t="str"/>
      <x:c r="D345" s="2" t="n">
        <x:v>1</x:v>
      </x:c>
      <x:c r="E345" s="10" t="n">
        <x:v>15000</x:v>
      </x:c>
      <x:c r="F345" s="10" t="n">
        <x:v>15000</x:v>
      </x:c>
      <x:c r="G345" s="8" t="n">
        <x:f>INDEX('Órdenes'!$B$7:$B$334,MATCH(A345,'Órdenes'!$A$7:$A$334,0))</x:f>
        <x:v>46119</x:v>
      </x:c>
      <x:c r="H345" s="11" t="n">
        <x:f>DATE(YEAR(G345),MONTH(G345),1)</x:f>
        <x:v>46113</x:v>
      </x:c>
    </x:row>
    <x:row r="346" ht="23" customHeight="1">
      <x:c r="A346" s="2" t="str">
        <x:v>SIM-202604-012</x:v>
      </x:c>
      <x:c r="B346" s="2" t="str">
        <x:v>Hamburguesa Clásica</x:v>
      </x:c>
      <x:c r="C346" s="2" t="str"/>
      <x:c r="D346" s="2" t="n">
        <x:v>1</x:v>
      </x:c>
      <x:c r="E346" s="10" t="n">
        <x:v>15000</x:v>
      </x:c>
      <x:c r="F346" s="10" t="n">
        <x:v>15000</x:v>
      </x:c>
      <x:c r="G346" s="8" t="n">
        <x:f>INDEX('Órdenes'!$B$7:$B$334,MATCH(A346,'Órdenes'!$A$7:$A$334,0))</x:f>
        <x:v>46120</x:v>
      </x:c>
      <x:c r="H346" s="11" t="n">
        <x:f>DATE(YEAR(G346),MONTH(G346),1)</x:f>
        <x:v>46113</x:v>
      </x:c>
    </x:row>
    <x:row r="347" ht="23" customHeight="1">
      <x:c r="A347" s="2" t="str">
        <x:v>SIM-202604-012</x:v>
      </x:c>
      <x:c r="B347" s="2" t="str">
        <x:v>Hamburguesa especial</x:v>
      </x:c>
      <x:c r="C347" s="2" t="str"/>
      <x:c r="D347" s="2" t="n">
        <x:v>1</x:v>
      </x:c>
      <x:c r="E347" s="10" t="n">
        <x:v>20000</x:v>
      </x:c>
      <x:c r="F347" s="10" t="n">
        <x:v>20000</x:v>
      </x:c>
      <x:c r="G347" s="8" t="n">
        <x:f>INDEX('Órdenes'!$B$7:$B$334,MATCH(A347,'Órdenes'!$A$7:$A$334,0))</x:f>
        <x:v>46120</x:v>
      </x:c>
      <x:c r="H347" s="11" t="n">
        <x:f>DATE(YEAR(G347),MONTH(G347),1)</x:f>
        <x:v>46113</x:v>
      </x:c>
    </x:row>
    <x:row r="348" ht="23" customHeight="1">
      <x:c r="A348" s="2" t="str">
        <x:v>SIM-202604-012</x:v>
      </x:c>
      <x:c r="B348" s="2" t="str">
        <x:v>Gaseosas</x:v>
      </x:c>
      <x:c r="C348" s="2" t="str">
        <x:v>Coca-Cola</x:v>
      </x:c>
      <x:c r="D348" s="2" t="n">
        <x:v>1</x:v>
      </x:c>
      <x:c r="E348" s="10" t="n">
        <x:v>5000</x:v>
      </x:c>
      <x:c r="F348" s="10" t="n">
        <x:v>5000</x:v>
      </x:c>
      <x:c r="G348" s="8" t="n">
        <x:f>INDEX('Órdenes'!$B$7:$B$334,MATCH(A348,'Órdenes'!$A$7:$A$334,0))</x:f>
        <x:v>46120</x:v>
      </x:c>
      <x:c r="H348" s="11" t="n">
        <x:f>DATE(YEAR(G348),MONTH(G348),1)</x:f>
        <x:v>46113</x:v>
      </x:c>
    </x:row>
    <x:row r="349" ht="23" customHeight="1">
      <x:c r="A349" s="2" t="str">
        <x:v>SIM-202604-012</x:v>
      </x:c>
      <x:c r="B349" s="2" t="str">
        <x:v>Gaseosas</x:v>
      </x:c>
      <x:c r="C349" s="2" t="str">
        <x:v>Manzana</x:v>
      </x:c>
      <x:c r="D349" s="2" t="n">
        <x:v>1</x:v>
      </x:c>
      <x:c r="E349" s="10" t="n">
        <x:v>5000</x:v>
      </x:c>
      <x:c r="F349" s="10" t="n">
        <x:v>5000</x:v>
      </x:c>
      <x:c r="G349" s="8" t="n">
        <x:f>INDEX('Órdenes'!$B$7:$B$334,MATCH(A349,'Órdenes'!$A$7:$A$334,0))</x:f>
        <x:v>46120</x:v>
      </x:c>
      <x:c r="H349" s="11" t="n">
        <x:f>DATE(YEAR(G349),MONTH(G349),1)</x:f>
        <x:v>46113</x:v>
      </x:c>
    </x:row>
    <x:row r="350" ht="23" customHeight="1">
      <x:c r="A350" s="2" t="str">
        <x:v>SIM-202604-013</x:v>
      </x:c>
      <x:c r="B350" s="2" t="str">
        <x:v>Hamburguesa Clásica</x:v>
      </x:c>
      <x:c r="C350" s="2" t="str"/>
      <x:c r="D350" s="2" t="n">
        <x:v>1</x:v>
      </x:c>
      <x:c r="E350" s="10" t="n">
        <x:v>15000</x:v>
      </x:c>
      <x:c r="F350" s="10" t="n">
        <x:v>15000</x:v>
      </x:c>
      <x:c r="G350" s="8" t="n">
        <x:f>INDEX('Órdenes'!$B$7:$B$334,MATCH(A350,'Órdenes'!$A$7:$A$334,0))</x:f>
        <x:v>46122</x:v>
      </x:c>
      <x:c r="H350" s="11" t="n">
        <x:f>DATE(YEAR(G350),MONTH(G350),1)</x:f>
        <x:v>46113</x:v>
      </x:c>
    </x:row>
    <x:row r="351" ht="23" customHeight="1">
      <x:c r="A351" s="2" t="str">
        <x:v>SIM-202604-013</x:v>
      </x:c>
      <x:c r="B351" s="2" t="str">
        <x:v>Gaseosas</x:v>
      </x:c>
      <x:c r="C351" s="2" t="str">
        <x:v>Coca-Cola</x:v>
      </x:c>
      <x:c r="D351" s="2" t="n">
        <x:v>1</x:v>
      </x:c>
      <x:c r="E351" s="10" t="n">
        <x:v>5000</x:v>
      </x:c>
      <x:c r="F351" s="10" t="n">
        <x:v>5000</x:v>
      </x:c>
      <x:c r="G351" s="8" t="n">
        <x:f>INDEX('Órdenes'!$B$7:$B$334,MATCH(A351,'Órdenes'!$A$7:$A$334,0))</x:f>
        <x:v>46122</x:v>
      </x:c>
      <x:c r="H351" s="11" t="n">
        <x:f>DATE(YEAR(G351),MONTH(G351),1)</x:f>
        <x:v>46113</x:v>
      </x:c>
    </x:row>
    <x:row r="352" ht="23" customHeight="1">
      <x:c r="A352" s="2" t="str">
        <x:v>SIM-202604-014</x:v>
      </x:c>
      <x:c r="B352" s="2" t="str">
        <x:v>Hamburguesa Clásica</x:v>
      </x:c>
      <x:c r="C352" s="2" t="str"/>
      <x:c r="D352" s="2" t="n">
        <x:v>1</x:v>
      </x:c>
      <x:c r="E352" s="10" t="n">
        <x:v>15000</x:v>
      </x:c>
      <x:c r="F352" s="10" t="n">
        <x:v>15000</x:v>
      </x:c>
      <x:c r="G352" s="8" t="n">
        <x:f>INDEX('Órdenes'!$B$7:$B$334,MATCH(A352,'Órdenes'!$A$7:$A$334,0))</x:f>
        <x:v>46123</x:v>
      </x:c>
      <x:c r="H352" s="11" t="n">
        <x:f>DATE(YEAR(G352),MONTH(G352),1)</x:f>
        <x:v>46113</x:v>
      </x:c>
    </x:row>
    <x:row r="353" ht="23" customHeight="1">
      <x:c r="A353" s="2" t="str">
        <x:v>SIM-202604-014</x:v>
      </x:c>
      <x:c r="B353" s="2" t="str">
        <x:v>Perro caliente</x:v>
      </x:c>
      <x:c r="C353" s="2" t="str"/>
      <x:c r="D353" s="2" t="n">
        <x:v>1</x:v>
      </x:c>
      <x:c r="E353" s="10" t="n">
        <x:v>13000</x:v>
      </x:c>
      <x:c r="F353" s="10" t="n">
        <x:v>13000</x:v>
      </x:c>
      <x:c r="G353" s="8" t="n">
        <x:f>INDEX('Órdenes'!$B$7:$B$334,MATCH(A353,'Órdenes'!$A$7:$A$334,0))</x:f>
        <x:v>46123</x:v>
      </x:c>
      <x:c r="H353" s="11" t="n">
        <x:f>DATE(YEAR(G353),MONTH(G353),1)</x:f>
        <x:v>46113</x:v>
      </x:c>
    </x:row>
    <x:row r="354" ht="23" customHeight="1">
      <x:c r="A354" s="2" t="str">
        <x:v>SIM-202604-014</x:v>
      </x:c>
      <x:c r="B354" s="2" t="str">
        <x:v>Gaseosas</x:v>
      </x:c>
      <x:c r="C354" s="2" t="str">
        <x:v>Coca-Cola</x:v>
      </x:c>
      <x:c r="D354" s="2" t="n">
        <x:v>2</x:v>
      </x:c>
      <x:c r="E354" s="10" t="n">
        <x:v>5000</x:v>
      </x:c>
      <x:c r="F354" s="10" t="n">
        <x:v>10000</x:v>
      </x:c>
      <x:c r="G354" s="8" t="n">
        <x:f>INDEX('Órdenes'!$B$7:$B$334,MATCH(A354,'Órdenes'!$A$7:$A$334,0))</x:f>
        <x:v>46123</x:v>
      </x:c>
      <x:c r="H354" s="11" t="n">
        <x:f>DATE(YEAR(G354),MONTH(G354),1)</x:f>
        <x:v>46113</x:v>
      </x:c>
    </x:row>
    <x:row r="355" ht="23" customHeight="1">
      <x:c r="A355" s="2" t="str">
        <x:v>SIM-202604-015</x:v>
      </x:c>
      <x:c r="B355" s="2" t="str">
        <x:v>Hamburguesa Clásica</x:v>
      </x:c>
      <x:c r="C355" s="2" t="str"/>
      <x:c r="D355" s="2" t="n">
        <x:v>1</x:v>
      </x:c>
      <x:c r="E355" s="10" t="n">
        <x:v>15000</x:v>
      </x:c>
      <x:c r="F355" s="10" t="n">
        <x:v>15000</x:v>
      </x:c>
      <x:c r="G355" s="8" t="n">
        <x:f>INDEX('Órdenes'!$B$7:$B$334,MATCH(A355,'Órdenes'!$A$7:$A$334,0))</x:f>
        <x:v>46124</x:v>
      </x:c>
      <x:c r="H355" s="11" t="n">
        <x:f>DATE(YEAR(G355),MONTH(G355),1)</x:f>
        <x:v>46113</x:v>
      </x:c>
    </x:row>
    <x:row r="356" ht="23" customHeight="1">
      <x:c r="A356" s="2" t="str">
        <x:v>SIM-202604-015</x:v>
      </x:c>
      <x:c r="B356" s="2" t="str">
        <x:v>Perro caliente</x:v>
      </x:c>
      <x:c r="C356" s="2" t="str"/>
      <x:c r="D356" s="2" t="n">
        <x:v>1</x:v>
      </x:c>
      <x:c r="E356" s="10" t="n">
        <x:v>13000</x:v>
      </x:c>
      <x:c r="F356" s="10" t="n">
        <x:v>13000</x:v>
      </x:c>
      <x:c r="G356" s="8" t="n">
        <x:f>INDEX('Órdenes'!$B$7:$B$334,MATCH(A356,'Órdenes'!$A$7:$A$334,0))</x:f>
        <x:v>46124</x:v>
      </x:c>
      <x:c r="H356" s="11" t="n">
        <x:f>DATE(YEAR(G356),MONTH(G356),1)</x:f>
        <x:v>46113</x:v>
      </x:c>
    </x:row>
    <x:row r="357" ht="23" customHeight="1">
      <x:c r="A357" s="2" t="str">
        <x:v>SIM-202604-015</x:v>
      </x:c>
      <x:c r="B357" s="2" t="str">
        <x:v>Gaseosas</x:v>
      </x:c>
      <x:c r="C357" s="2" t="str">
        <x:v>Coca-Cola</x:v>
      </x:c>
      <x:c r="D357" s="2" t="n">
        <x:v>1</x:v>
      </x:c>
      <x:c r="E357" s="10" t="n">
        <x:v>5000</x:v>
      </x:c>
      <x:c r="F357" s="10" t="n">
        <x:v>5000</x:v>
      </x:c>
      <x:c r="G357" s="8" t="n">
        <x:f>INDEX('Órdenes'!$B$7:$B$334,MATCH(A357,'Órdenes'!$A$7:$A$334,0))</x:f>
        <x:v>46124</x:v>
      </x:c>
      <x:c r="H357" s="11" t="n">
        <x:f>DATE(YEAR(G357),MONTH(G357),1)</x:f>
        <x:v>46113</x:v>
      </x:c>
    </x:row>
    <x:row r="358" ht="23" customHeight="1">
      <x:c r="A358" s="2" t="str">
        <x:v>SIM-202604-015</x:v>
      </x:c>
      <x:c r="B358" s="2" t="str">
        <x:v>Gaseosas</x:v>
      </x:c>
      <x:c r="C358" s="2" t="str">
        <x:v>Sprite</x:v>
      </x:c>
      <x:c r="D358" s="2" t="n">
        <x:v>1</x:v>
      </x:c>
      <x:c r="E358" s="10" t="n">
        <x:v>5000</x:v>
      </x:c>
      <x:c r="F358" s="10" t="n">
        <x:v>5000</x:v>
      </x:c>
      <x:c r="G358" s="8" t="n">
        <x:f>INDEX('Órdenes'!$B$7:$B$334,MATCH(A358,'Órdenes'!$A$7:$A$334,0))</x:f>
        <x:v>46124</x:v>
      </x:c>
      <x:c r="H358" s="11" t="n">
        <x:f>DATE(YEAR(G358),MONTH(G358),1)</x:f>
        <x:v>46113</x:v>
      </x:c>
    </x:row>
    <x:row r="359" ht="23" customHeight="1">
      <x:c r="A359" s="2" t="str">
        <x:v>SIM-202604-016</x:v>
      </x:c>
      <x:c r="B359" s="2" t="str">
        <x:v>Hamburguesa Clásica</x:v>
      </x:c>
      <x:c r="C359" s="2" t="str"/>
      <x:c r="D359" s="2" t="n">
        <x:v>1</x:v>
      </x:c>
      <x:c r="E359" s="10" t="n">
        <x:v>15000</x:v>
      </x:c>
      <x:c r="F359" s="10" t="n">
        <x:v>15000</x:v>
      </x:c>
      <x:c r="G359" s="8" t="n">
        <x:f>INDEX('Órdenes'!$B$7:$B$334,MATCH(A359,'Órdenes'!$A$7:$A$334,0))</x:f>
        <x:v>46124</x:v>
      </x:c>
      <x:c r="H359" s="11" t="n">
        <x:f>DATE(YEAR(G359),MONTH(G359),1)</x:f>
        <x:v>46113</x:v>
      </x:c>
    </x:row>
    <x:row r="360" ht="23" customHeight="1">
      <x:c r="A360" s="2" t="str">
        <x:v>SIM-202604-016</x:v>
      </x:c>
      <x:c r="B360" s="2" t="str">
        <x:v>Hamburguesa especial</x:v>
      </x:c>
      <x:c r="C360" s="2" t="str"/>
      <x:c r="D360" s="2" t="n">
        <x:v>1</x:v>
      </x:c>
      <x:c r="E360" s="10" t="n">
        <x:v>20000</x:v>
      </x:c>
      <x:c r="F360" s="10" t="n">
        <x:v>20000</x:v>
      </x:c>
      <x:c r="G360" s="8" t="n">
        <x:f>INDEX('Órdenes'!$B$7:$B$334,MATCH(A360,'Órdenes'!$A$7:$A$334,0))</x:f>
        <x:v>46124</x:v>
      </x:c>
      <x:c r="H360" s="11" t="n">
        <x:f>DATE(YEAR(G360),MONTH(G360),1)</x:f>
        <x:v>46113</x:v>
      </x:c>
    </x:row>
    <x:row r="361" ht="23" customHeight="1">
      <x:c r="A361" s="2" t="str">
        <x:v>SIM-202604-016</x:v>
      </x:c>
      <x:c r="B361" s="2" t="str">
        <x:v>Perro caliente</x:v>
      </x:c>
      <x:c r="C361" s="2" t="str"/>
      <x:c r="D361" s="2" t="n">
        <x:v>1</x:v>
      </x:c>
      <x:c r="E361" s="10" t="n">
        <x:v>13000</x:v>
      </x:c>
      <x:c r="F361" s="10" t="n">
        <x:v>13000</x:v>
      </x:c>
      <x:c r="G361" s="8" t="n">
        <x:f>INDEX('Órdenes'!$B$7:$B$334,MATCH(A361,'Órdenes'!$A$7:$A$334,0))</x:f>
        <x:v>46124</x:v>
      </x:c>
      <x:c r="H361" s="11" t="n">
        <x:f>DATE(YEAR(G361),MONTH(G361),1)</x:f>
        <x:v>46113</x:v>
      </x:c>
    </x:row>
    <x:row r="362" ht="23" customHeight="1">
      <x:c r="A362" s="2" t="str">
        <x:v>SIM-202604-016</x:v>
      </x:c>
      <x:c r="B362" s="2" t="str">
        <x:v>Salchipapas</x:v>
      </x:c>
      <x:c r="C362" s="2" t="str"/>
      <x:c r="D362" s="2" t="n">
        <x:v>1</x:v>
      </x:c>
      <x:c r="E362" s="10" t="n">
        <x:v>12000</x:v>
      </x:c>
      <x:c r="F362" s="10" t="n">
        <x:v>12000</x:v>
      </x:c>
      <x:c r="G362" s="8" t="n">
        <x:f>INDEX('Órdenes'!$B$7:$B$334,MATCH(A362,'Órdenes'!$A$7:$A$334,0))</x:f>
        <x:v>46124</x:v>
      </x:c>
      <x:c r="H362" s="11" t="n">
        <x:f>DATE(YEAR(G362),MONTH(G362),1)</x:f>
        <x:v>46113</x:v>
      </x:c>
    </x:row>
    <x:row r="363" ht="23" customHeight="1">
      <x:c r="A363" s="2" t="str">
        <x:v>SIM-202604-016</x:v>
      </x:c>
      <x:c r="B363" s="2" t="str">
        <x:v>Gaseosas</x:v>
      </x:c>
      <x:c r="C363" s="2" t="str">
        <x:v>Coca-Cola</x:v>
      </x:c>
      <x:c r="D363" s="2" t="n">
        <x:v>1</x:v>
      </x:c>
      <x:c r="E363" s="10" t="n">
        <x:v>5000</x:v>
      </x:c>
      <x:c r="F363" s="10" t="n">
        <x:v>5000</x:v>
      </x:c>
      <x:c r="G363" s="8" t="n">
        <x:f>INDEX('Órdenes'!$B$7:$B$334,MATCH(A363,'Órdenes'!$A$7:$A$334,0))</x:f>
        <x:v>46124</x:v>
      </x:c>
      <x:c r="H363" s="11" t="n">
        <x:f>DATE(YEAR(G363),MONTH(G363),1)</x:f>
        <x:v>46113</x:v>
      </x:c>
    </x:row>
    <x:row r="364" ht="23" customHeight="1">
      <x:c r="A364" s="2" t="str">
        <x:v>SIM-202604-016</x:v>
      </x:c>
      <x:c r="B364" s="2" t="str">
        <x:v>Gaseosas</x:v>
      </x:c>
      <x:c r="C364" s="2" t="str">
        <x:v>Sprite</x:v>
      </x:c>
      <x:c r="D364" s="2" t="n">
        <x:v>1</x:v>
      </x:c>
      <x:c r="E364" s="10" t="n">
        <x:v>5000</x:v>
      </x:c>
      <x:c r="F364" s="10" t="n">
        <x:v>5000</x:v>
      </x:c>
      <x:c r="G364" s="8" t="n">
        <x:f>INDEX('Órdenes'!$B$7:$B$334,MATCH(A364,'Órdenes'!$A$7:$A$334,0))</x:f>
        <x:v>46124</x:v>
      </x:c>
      <x:c r="H364" s="11" t="n">
        <x:f>DATE(YEAR(G364),MONTH(G364),1)</x:f>
        <x:v>46113</x:v>
      </x:c>
    </x:row>
    <x:row r="365" ht="23" customHeight="1">
      <x:c r="A365" s="2" t="str">
        <x:v>SIM-202604-017</x:v>
      </x:c>
      <x:c r="B365" s="2" t="str">
        <x:v>Hamburguesa especial</x:v>
      </x:c>
      <x:c r="C365" s="2" t="str"/>
      <x:c r="D365" s="2" t="n">
        <x:v>1</x:v>
      </x:c>
      <x:c r="E365" s="10" t="n">
        <x:v>20000</x:v>
      </x:c>
      <x:c r="F365" s="10" t="n">
        <x:v>20000</x:v>
      </x:c>
      <x:c r="G365" s="8" t="n">
        <x:f>INDEX('Órdenes'!$B$7:$B$334,MATCH(A365,'Órdenes'!$A$7:$A$334,0))</x:f>
        <x:v>46124</x:v>
      </x:c>
      <x:c r="H365" s="11" t="n">
        <x:f>DATE(YEAR(G365),MONTH(G365),1)</x:f>
        <x:v>46113</x:v>
      </x:c>
    </x:row>
    <x:row r="366" ht="23" customHeight="1">
      <x:c r="A366" s="2" t="str">
        <x:v>SIM-202604-017</x:v>
      </x:c>
      <x:c r="B366" s="2" t="str">
        <x:v>Perro caliente</x:v>
      </x:c>
      <x:c r="C366" s="2" t="str"/>
      <x:c r="D366" s="2" t="n">
        <x:v>1</x:v>
      </x:c>
      <x:c r="E366" s="10" t="n">
        <x:v>13000</x:v>
      </x:c>
      <x:c r="F366" s="10" t="n">
        <x:v>13000</x:v>
      </x:c>
      <x:c r="G366" s="8" t="n">
        <x:f>INDEX('Órdenes'!$B$7:$B$334,MATCH(A366,'Órdenes'!$A$7:$A$334,0))</x:f>
        <x:v>46124</x:v>
      </x:c>
      <x:c r="H366" s="11" t="n">
        <x:f>DATE(YEAR(G366),MONTH(G366),1)</x:f>
        <x:v>46113</x:v>
      </x:c>
    </x:row>
    <x:row r="367" ht="23" customHeight="1">
      <x:c r="A367" s="2" t="str">
        <x:v>SIM-202604-017</x:v>
      </x:c>
      <x:c r="B367" s="2" t="str">
        <x:v>Salchipapas</x:v>
      </x:c>
      <x:c r="C367" s="2" t="str"/>
      <x:c r="D367" s="2" t="n">
        <x:v>1</x:v>
      </x:c>
      <x:c r="E367" s="10" t="n">
        <x:v>12000</x:v>
      </x:c>
      <x:c r="F367" s="10" t="n">
        <x:v>12000</x:v>
      </x:c>
      <x:c r="G367" s="8" t="n">
        <x:f>INDEX('Órdenes'!$B$7:$B$334,MATCH(A367,'Órdenes'!$A$7:$A$334,0))</x:f>
        <x:v>46124</x:v>
      </x:c>
      <x:c r="H367" s="11" t="n">
        <x:f>DATE(YEAR(G367),MONTH(G367),1)</x:f>
        <x:v>46113</x:v>
      </x:c>
    </x:row>
    <x:row r="368" ht="23" customHeight="1">
      <x:c r="A368" s="2" t="str">
        <x:v>SIM-202604-017</x:v>
      </x:c>
      <x:c r="B368" s="2" t="str">
        <x:v>Gaseosas</x:v>
      </x:c>
      <x:c r="C368" s="2" t="str">
        <x:v>Coca-Cola</x:v>
      </x:c>
      <x:c r="D368" s="2" t="n">
        <x:v>1</x:v>
      </x:c>
      <x:c r="E368" s="10" t="n">
        <x:v>5000</x:v>
      </x:c>
      <x:c r="F368" s="10" t="n">
        <x:v>5000</x:v>
      </x:c>
      <x:c r="G368" s="8" t="n">
        <x:f>INDEX('Órdenes'!$B$7:$B$334,MATCH(A368,'Órdenes'!$A$7:$A$334,0))</x:f>
        <x:v>46124</x:v>
      </x:c>
      <x:c r="H368" s="11" t="n">
        <x:f>DATE(YEAR(G368),MONTH(G368),1)</x:f>
        <x:v>46113</x:v>
      </x:c>
    </x:row>
    <x:row r="369" ht="23" customHeight="1">
      <x:c r="A369" s="2" t="str">
        <x:v>SIM-202604-018</x:v>
      </x:c>
      <x:c r="B369" s="2" t="str">
        <x:v>Hamburguesa Clásica</x:v>
      </x:c>
      <x:c r="C369" s="2" t="str"/>
      <x:c r="D369" s="2" t="n">
        <x:v>2</x:v>
      </x:c>
      <x:c r="E369" s="10" t="n">
        <x:v>15000</x:v>
      </x:c>
      <x:c r="F369" s="10" t="n">
        <x:v>30000</x:v>
      </x:c>
      <x:c r="G369" s="8" t="n">
        <x:f>INDEX('Órdenes'!$B$7:$B$334,MATCH(A369,'Órdenes'!$A$7:$A$334,0))</x:f>
        <x:v>46127</x:v>
      </x:c>
      <x:c r="H369" s="11" t="n">
        <x:f>DATE(YEAR(G369),MONTH(G369),1)</x:f>
        <x:v>46113</x:v>
      </x:c>
    </x:row>
    <x:row r="370" ht="23" customHeight="1">
      <x:c r="A370" s="2" t="str">
        <x:v>SIM-202604-018</x:v>
      </x:c>
      <x:c r="B370" s="2" t="str">
        <x:v>Salchipapas</x:v>
      </x:c>
      <x:c r="C370" s="2" t="str"/>
      <x:c r="D370" s="2" t="n">
        <x:v>1</x:v>
      </x:c>
      <x:c r="E370" s="10" t="n">
        <x:v>12000</x:v>
      </x:c>
      <x:c r="F370" s="10" t="n">
        <x:v>12000</x:v>
      </x:c>
      <x:c r="G370" s="8" t="n">
        <x:f>INDEX('Órdenes'!$B$7:$B$334,MATCH(A370,'Órdenes'!$A$7:$A$334,0))</x:f>
        <x:v>46127</x:v>
      </x:c>
      <x:c r="H370" s="11" t="n">
        <x:f>DATE(YEAR(G370),MONTH(G370),1)</x:f>
        <x:v>46113</x:v>
      </x:c>
    </x:row>
    <x:row r="371" ht="23" customHeight="1">
      <x:c r="A371" s="2" t="str">
        <x:v>SIM-202604-018</x:v>
      </x:c>
      <x:c r="B371" s="2" t="str">
        <x:v>Gaseosas</x:v>
      </x:c>
      <x:c r="C371" s="2" t="str">
        <x:v>Coca-Cola</x:v>
      </x:c>
      <x:c r="D371" s="2" t="n">
        <x:v>2</x:v>
      </x:c>
      <x:c r="E371" s="10" t="n">
        <x:v>5000</x:v>
      </x:c>
      <x:c r="F371" s="10" t="n">
        <x:v>10000</x:v>
      </x:c>
      <x:c r="G371" s="8" t="n">
        <x:f>INDEX('Órdenes'!$B$7:$B$334,MATCH(A371,'Órdenes'!$A$7:$A$334,0))</x:f>
        <x:v>46127</x:v>
      </x:c>
      <x:c r="H371" s="11" t="n">
        <x:f>DATE(YEAR(G371),MONTH(G371),1)</x:f>
        <x:v>46113</x:v>
      </x:c>
    </x:row>
    <x:row r="372" ht="23" customHeight="1">
      <x:c r="A372" s="2" t="str">
        <x:v>SIM-202604-019</x:v>
      </x:c>
      <x:c r="B372" s="2" t="str">
        <x:v>Hamburguesa Clásica</x:v>
      </x:c>
      <x:c r="C372" s="2" t="str"/>
      <x:c r="D372" s="2" t="n">
        <x:v>1</x:v>
      </x:c>
      <x:c r="E372" s="10" t="n">
        <x:v>15000</x:v>
      </x:c>
      <x:c r="F372" s="10" t="n">
        <x:v>15000</x:v>
      </x:c>
      <x:c r="G372" s="8" t="n">
        <x:f>INDEX('Órdenes'!$B$7:$B$334,MATCH(A372,'Órdenes'!$A$7:$A$334,0))</x:f>
        <x:v>46129</x:v>
      </x:c>
      <x:c r="H372" s="11" t="n">
        <x:f>DATE(YEAR(G372),MONTH(G372),1)</x:f>
        <x:v>46113</x:v>
      </x:c>
    </x:row>
    <x:row r="373" ht="23" customHeight="1">
      <x:c r="A373" s="2" t="str">
        <x:v>SIM-202604-019</x:v>
      </x:c>
      <x:c r="B373" s="2" t="str">
        <x:v>Hamburguesa especial</x:v>
      </x:c>
      <x:c r="C373" s="2" t="str"/>
      <x:c r="D373" s="2" t="n">
        <x:v>1</x:v>
      </x:c>
      <x:c r="E373" s="10" t="n">
        <x:v>20000</x:v>
      </x:c>
      <x:c r="F373" s="10" t="n">
        <x:v>20000</x:v>
      </x:c>
      <x:c r="G373" s="8" t="n">
        <x:f>INDEX('Órdenes'!$B$7:$B$334,MATCH(A373,'Órdenes'!$A$7:$A$334,0))</x:f>
        <x:v>46129</x:v>
      </x:c>
      <x:c r="H373" s="11" t="n">
        <x:f>DATE(YEAR(G373),MONTH(G373),1)</x:f>
        <x:v>46113</x:v>
      </x:c>
    </x:row>
    <x:row r="374" ht="23" customHeight="1">
      <x:c r="A374" s="2" t="str">
        <x:v>SIM-202604-019</x:v>
      </x:c>
      <x:c r="B374" s="2" t="str">
        <x:v>Perro caliente</x:v>
      </x:c>
      <x:c r="C374" s="2" t="str"/>
      <x:c r="D374" s="2" t="n">
        <x:v>1</x:v>
      </x:c>
      <x:c r="E374" s="10" t="n">
        <x:v>13000</x:v>
      </x:c>
      <x:c r="F374" s="10" t="n">
        <x:v>13000</x:v>
      </x:c>
      <x:c r="G374" s="8" t="n">
        <x:f>INDEX('Órdenes'!$B$7:$B$334,MATCH(A374,'Órdenes'!$A$7:$A$334,0))</x:f>
        <x:v>46129</x:v>
      </x:c>
      <x:c r="H374" s="11" t="n">
        <x:f>DATE(YEAR(G374),MONTH(G374),1)</x:f>
        <x:v>46113</x:v>
      </x:c>
    </x:row>
    <x:row r="375" ht="23" customHeight="1">
      <x:c r="A375" s="2" t="str">
        <x:v>SIM-202604-019</x:v>
      </x:c>
      <x:c r="B375" s="2" t="str">
        <x:v>Gaseosas</x:v>
      </x:c>
      <x:c r="C375" s="2" t="str">
        <x:v>Coca-Cola</x:v>
      </x:c>
      <x:c r="D375" s="2" t="n">
        <x:v>1</x:v>
      </x:c>
      <x:c r="E375" s="10" t="n">
        <x:v>5000</x:v>
      </x:c>
      <x:c r="F375" s="10" t="n">
        <x:v>5000</x:v>
      </x:c>
      <x:c r="G375" s="8" t="n">
        <x:f>INDEX('Órdenes'!$B$7:$B$334,MATCH(A375,'Órdenes'!$A$7:$A$334,0))</x:f>
        <x:v>46129</x:v>
      </x:c>
      <x:c r="H375" s="11" t="n">
        <x:f>DATE(YEAR(G375),MONTH(G375),1)</x:f>
        <x:v>46113</x:v>
      </x:c>
    </x:row>
    <x:row r="376" ht="23" customHeight="1">
      <x:c r="A376" s="2" t="str">
        <x:v>SIM-202604-019</x:v>
      </x:c>
      <x:c r="B376" s="2" t="str">
        <x:v>Gaseosas</x:v>
      </x:c>
      <x:c r="C376" s="2" t="str">
        <x:v>Manzana</x:v>
      </x:c>
      <x:c r="D376" s="2" t="n">
        <x:v>1</x:v>
      </x:c>
      <x:c r="E376" s="10" t="n">
        <x:v>5000</x:v>
      </x:c>
      <x:c r="F376" s="10" t="n">
        <x:v>5000</x:v>
      </x:c>
      <x:c r="G376" s="8" t="n">
        <x:f>INDEX('Órdenes'!$B$7:$B$334,MATCH(A376,'Órdenes'!$A$7:$A$334,0))</x:f>
        <x:v>46129</x:v>
      </x:c>
      <x:c r="H376" s="11" t="n">
        <x:f>DATE(YEAR(G376),MONTH(G376),1)</x:f>
        <x:v>46113</x:v>
      </x:c>
    </x:row>
    <x:row r="377" ht="23" customHeight="1">
      <x:c r="A377" s="2" t="str">
        <x:v>SIM-202604-020</x:v>
      </x:c>
      <x:c r="B377" s="2" t="str">
        <x:v>Hamburguesa Clásica</x:v>
      </x:c>
      <x:c r="C377" s="2" t="str"/>
      <x:c r="D377" s="2" t="n">
        <x:v>1</x:v>
      </x:c>
      <x:c r="E377" s="10" t="n">
        <x:v>15000</x:v>
      </x:c>
      <x:c r="F377" s="10" t="n">
        <x:v>15000</x:v>
      </x:c>
      <x:c r="G377" s="8" t="n">
        <x:f>INDEX('Órdenes'!$B$7:$B$334,MATCH(A377,'Órdenes'!$A$7:$A$334,0))</x:f>
        <x:v>46129</x:v>
      </x:c>
      <x:c r="H377" s="11" t="n">
        <x:f>DATE(YEAR(G377),MONTH(G377),1)</x:f>
        <x:v>46113</x:v>
      </x:c>
    </x:row>
    <x:row r="378" ht="23" customHeight="1">
      <x:c r="A378" s="2" t="str">
        <x:v>SIM-202604-020</x:v>
      </x:c>
      <x:c r="B378" s="2" t="str">
        <x:v>Perro caliente</x:v>
      </x:c>
      <x:c r="C378" s="2" t="str"/>
      <x:c r="D378" s="2" t="n">
        <x:v>1</x:v>
      </x:c>
      <x:c r="E378" s="10" t="n">
        <x:v>13000</x:v>
      </x:c>
      <x:c r="F378" s="10" t="n">
        <x:v>13000</x:v>
      </x:c>
      <x:c r="G378" s="8" t="n">
        <x:f>INDEX('Órdenes'!$B$7:$B$334,MATCH(A378,'Órdenes'!$A$7:$A$334,0))</x:f>
        <x:v>46129</x:v>
      </x:c>
      <x:c r="H378" s="11" t="n">
        <x:f>DATE(YEAR(G378),MONTH(G378),1)</x:f>
        <x:v>46113</x:v>
      </x:c>
    </x:row>
    <x:row r="379" ht="23" customHeight="1">
      <x:c r="A379" s="2" t="str">
        <x:v>SIM-202604-020</x:v>
      </x:c>
      <x:c r="B379" s="2" t="str">
        <x:v>Gaseosas</x:v>
      </x:c>
      <x:c r="C379" s="2" t="str">
        <x:v>Coca-Cola</x:v>
      </x:c>
      <x:c r="D379" s="2" t="n">
        <x:v>1</x:v>
      </x:c>
      <x:c r="E379" s="10" t="n">
        <x:v>5000</x:v>
      </x:c>
      <x:c r="F379" s="10" t="n">
        <x:v>5000</x:v>
      </x:c>
      <x:c r="G379" s="8" t="n">
        <x:f>INDEX('Órdenes'!$B$7:$B$334,MATCH(A379,'Órdenes'!$A$7:$A$334,0))</x:f>
        <x:v>46129</x:v>
      </x:c>
      <x:c r="H379" s="11" t="n">
        <x:f>DATE(YEAR(G379),MONTH(G379),1)</x:f>
        <x:v>46113</x:v>
      </x:c>
    </x:row>
    <x:row r="380" ht="23" customHeight="1">
      <x:c r="A380" s="2" t="str">
        <x:v>SIM-202604-020</x:v>
      </x:c>
      <x:c r="B380" s="2" t="str">
        <x:v>Gaseosas</x:v>
      </x:c>
      <x:c r="C380" s="2" t="str">
        <x:v>Sprite</x:v>
      </x:c>
      <x:c r="D380" s="2" t="n">
        <x:v>1</x:v>
      </x:c>
      <x:c r="E380" s="10" t="n">
        <x:v>5000</x:v>
      </x:c>
      <x:c r="F380" s="10" t="n">
        <x:v>5000</x:v>
      </x:c>
      <x:c r="G380" s="8" t="n">
        <x:f>INDEX('Órdenes'!$B$7:$B$334,MATCH(A380,'Órdenes'!$A$7:$A$334,0))</x:f>
        <x:v>46129</x:v>
      </x:c>
      <x:c r="H380" s="11" t="n">
        <x:f>DATE(YEAR(G380),MONTH(G380),1)</x:f>
        <x:v>46113</x:v>
      </x:c>
    </x:row>
    <x:row r="381" ht="23" customHeight="1">
      <x:c r="A381" s="2" t="str">
        <x:v>SIM-202604-021</x:v>
      </x:c>
      <x:c r="B381" s="2" t="str">
        <x:v>Hamburguesa Clásica</x:v>
      </x:c>
      <x:c r="C381" s="2" t="str"/>
      <x:c r="D381" s="2" t="n">
        <x:v>2</x:v>
      </x:c>
      <x:c r="E381" s="10" t="n">
        <x:v>15000</x:v>
      </x:c>
      <x:c r="F381" s="10" t="n">
        <x:v>30000</x:v>
      </x:c>
      <x:c r="G381" s="8" t="n">
        <x:f>INDEX('Órdenes'!$B$7:$B$334,MATCH(A381,'Órdenes'!$A$7:$A$334,0))</x:f>
        <x:v>46129</x:v>
      </x:c>
      <x:c r="H381" s="11" t="n">
        <x:f>DATE(YEAR(G381),MONTH(G381),1)</x:f>
        <x:v>46113</x:v>
      </x:c>
    </x:row>
    <x:row r="382" ht="23" customHeight="1">
      <x:c r="A382" s="2" t="str">
        <x:v>SIM-202604-021</x:v>
      </x:c>
      <x:c r="B382" s="2" t="str">
        <x:v>Hamburguesa especial</x:v>
      </x:c>
      <x:c r="C382" s="2" t="str"/>
      <x:c r="D382" s="2" t="n">
        <x:v>1</x:v>
      </x:c>
      <x:c r="E382" s="10" t="n">
        <x:v>20000</x:v>
      </x:c>
      <x:c r="F382" s="10" t="n">
        <x:v>20000</x:v>
      </x:c>
      <x:c r="G382" s="8" t="n">
        <x:f>INDEX('Órdenes'!$B$7:$B$334,MATCH(A382,'Órdenes'!$A$7:$A$334,0))</x:f>
        <x:v>46129</x:v>
      </x:c>
      <x:c r="H382" s="11" t="n">
        <x:f>DATE(YEAR(G382),MONTH(G382),1)</x:f>
        <x:v>46113</x:v>
      </x:c>
    </x:row>
    <x:row r="383" ht="23" customHeight="1">
      <x:c r="A383" s="2" t="str">
        <x:v>SIM-202604-021</x:v>
      </x:c>
      <x:c r="B383" s="2" t="str">
        <x:v>Gaseosas</x:v>
      </x:c>
      <x:c r="C383" s="2" t="str">
        <x:v>Coca-Cola</x:v>
      </x:c>
      <x:c r="D383" s="2" t="n">
        <x:v>1</x:v>
      </x:c>
      <x:c r="E383" s="10" t="n">
        <x:v>5000</x:v>
      </x:c>
      <x:c r="F383" s="10" t="n">
        <x:v>5000</x:v>
      </x:c>
      <x:c r="G383" s="8" t="n">
        <x:f>INDEX('Órdenes'!$B$7:$B$334,MATCH(A383,'Órdenes'!$A$7:$A$334,0))</x:f>
        <x:v>46129</x:v>
      </x:c>
      <x:c r="H383" s="11" t="n">
        <x:f>DATE(YEAR(G383),MONTH(G383),1)</x:f>
        <x:v>46113</x:v>
      </x:c>
    </x:row>
    <x:row r="384" ht="23" customHeight="1">
      <x:c r="A384" s="2" t="str">
        <x:v>SIM-202604-021</x:v>
      </x:c>
      <x:c r="B384" s="2" t="str">
        <x:v>Gaseosas</x:v>
      </x:c>
      <x:c r="C384" s="2" t="str">
        <x:v>Sprite</x:v>
      </x:c>
      <x:c r="D384" s="2" t="n">
        <x:v>1</x:v>
      </x:c>
      <x:c r="E384" s="10" t="n">
        <x:v>5000</x:v>
      </x:c>
      <x:c r="F384" s="10" t="n">
        <x:v>5000</x:v>
      </x:c>
      <x:c r="G384" s="8" t="n">
        <x:f>INDEX('Órdenes'!$B$7:$B$334,MATCH(A384,'Órdenes'!$A$7:$A$334,0))</x:f>
        <x:v>46129</x:v>
      </x:c>
      <x:c r="H384" s="11" t="n">
        <x:f>DATE(YEAR(G384),MONTH(G384),1)</x:f>
        <x:v>46113</x:v>
      </x:c>
    </x:row>
    <x:row r="385" ht="23" customHeight="1">
      <x:c r="A385" s="2" t="str">
        <x:v>SIM-202604-022</x:v>
      </x:c>
      <x:c r="B385" s="2" t="str">
        <x:v>Perro caliente</x:v>
      </x:c>
      <x:c r="C385" s="2" t="str"/>
      <x:c r="D385" s="2" t="n">
        <x:v>1</x:v>
      </x:c>
      <x:c r="E385" s="10" t="n">
        <x:v>13000</x:v>
      </x:c>
      <x:c r="F385" s="10" t="n">
        <x:v>13000</x:v>
      </x:c>
      <x:c r="G385" s="8" t="n">
        <x:f>INDEX('Órdenes'!$B$7:$B$334,MATCH(A385,'Órdenes'!$A$7:$A$334,0))</x:f>
        <x:v>46129</x:v>
      </x:c>
      <x:c r="H385" s="11" t="n">
        <x:f>DATE(YEAR(G385),MONTH(G385),1)</x:f>
        <x:v>46113</x:v>
      </x:c>
    </x:row>
    <x:row r="386" ht="23" customHeight="1">
      <x:c r="A386" s="2" t="str">
        <x:v>SIM-202604-022</x:v>
      </x:c>
      <x:c r="B386" s="2" t="str">
        <x:v>Salchipapas</x:v>
      </x:c>
      <x:c r="C386" s="2" t="str"/>
      <x:c r="D386" s="2" t="n">
        <x:v>1</x:v>
      </x:c>
      <x:c r="E386" s="10" t="n">
        <x:v>12000</x:v>
      </x:c>
      <x:c r="F386" s="10" t="n">
        <x:v>12000</x:v>
      </x:c>
      <x:c r="G386" s="8" t="n">
        <x:f>INDEX('Órdenes'!$B$7:$B$334,MATCH(A386,'Órdenes'!$A$7:$A$334,0))</x:f>
        <x:v>46129</x:v>
      </x:c>
      <x:c r="H386" s="11" t="n">
        <x:f>DATE(YEAR(G386),MONTH(G386),1)</x:f>
        <x:v>46113</x:v>
      </x:c>
    </x:row>
    <x:row r="387" ht="23" customHeight="1">
      <x:c r="A387" s="2" t="str">
        <x:v>SIM-202604-022</x:v>
      </x:c>
      <x:c r="B387" s="2" t="str">
        <x:v>Gaseosas</x:v>
      </x:c>
      <x:c r="C387" s="2" t="str">
        <x:v>Sprite</x:v>
      </x:c>
      <x:c r="D387" s="2" t="n">
        <x:v>1</x:v>
      </x:c>
      <x:c r="E387" s="10" t="n">
        <x:v>5000</x:v>
      </x:c>
      <x:c r="F387" s="10" t="n">
        <x:v>5000</x:v>
      </x:c>
      <x:c r="G387" s="8" t="n">
        <x:f>INDEX('Órdenes'!$B$7:$B$334,MATCH(A387,'Órdenes'!$A$7:$A$334,0))</x:f>
        <x:v>46129</x:v>
      </x:c>
      <x:c r="H387" s="11" t="n">
        <x:f>DATE(YEAR(G387),MONTH(G387),1)</x:f>
        <x:v>46113</x:v>
      </x:c>
    </x:row>
    <x:row r="388" ht="23" customHeight="1">
      <x:c r="A388" s="2" t="str">
        <x:v>SIM-202604-023</x:v>
      </x:c>
      <x:c r="B388" s="2" t="str">
        <x:v>Hamburguesa Clásica</x:v>
      </x:c>
      <x:c r="C388" s="2" t="str"/>
      <x:c r="D388" s="2" t="n">
        <x:v>1</x:v>
      </x:c>
      <x:c r="E388" s="10" t="n">
        <x:v>15000</x:v>
      </x:c>
      <x:c r="F388" s="10" t="n">
        <x:v>15000</x:v>
      </x:c>
      <x:c r="G388" s="8" t="n">
        <x:f>INDEX('Órdenes'!$B$7:$B$334,MATCH(A388,'Órdenes'!$A$7:$A$334,0))</x:f>
        <x:v>46130</x:v>
      </x:c>
      <x:c r="H388" s="11" t="n">
        <x:f>DATE(YEAR(G388),MONTH(G388),1)</x:f>
        <x:v>46113</x:v>
      </x:c>
    </x:row>
    <x:row r="389" ht="23" customHeight="1">
      <x:c r="A389" s="2" t="str">
        <x:v>SIM-202604-024</x:v>
      </x:c>
      <x:c r="B389" s="2" t="str">
        <x:v>Perro caliente</x:v>
      </x:c>
      <x:c r="C389" s="2" t="str"/>
      <x:c r="D389" s="2" t="n">
        <x:v>2</x:v>
      </x:c>
      <x:c r="E389" s="10" t="n">
        <x:v>13000</x:v>
      </x:c>
      <x:c r="F389" s="10" t="n">
        <x:v>26000</x:v>
      </x:c>
      <x:c r="G389" s="8" t="n">
        <x:f>INDEX('Órdenes'!$B$7:$B$334,MATCH(A389,'Órdenes'!$A$7:$A$334,0))</x:f>
        <x:v>46130</x:v>
      </x:c>
      <x:c r="H389" s="11" t="n">
        <x:f>DATE(YEAR(G389),MONTH(G389),1)</x:f>
        <x:v>46113</x:v>
      </x:c>
    </x:row>
    <x:row r="390" ht="23" customHeight="1">
      <x:c r="A390" s="2" t="str">
        <x:v>SIM-202604-024</x:v>
      </x:c>
      <x:c r="B390" s="2" t="str">
        <x:v>Gaseosas</x:v>
      </x:c>
      <x:c r="C390" s="2" t="str">
        <x:v>Sprite</x:v>
      </x:c>
      <x:c r="D390" s="2" t="n">
        <x:v>1</x:v>
      </x:c>
      <x:c r="E390" s="10" t="n">
        <x:v>5000</x:v>
      </x:c>
      <x:c r="F390" s="10" t="n">
        <x:v>5000</x:v>
      </x:c>
      <x:c r="G390" s="8" t="n">
        <x:f>INDEX('Órdenes'!$B$7:$B$334,MATCH(A390,'Órdenes'!$A$7:$A$334,0))</x:f>
        <x:v>46130</x:v>
      </x:c>
      <x:c r="H390" s="11" t="n">
        <x:f>DATE(YEAR(G390),MONTH(G390),1)</x:f>
        <x:v>46113</x:v>
      </x:c>
    </x:row>
    <x:row r="391" ht="23" customHeight="1">
      <x:c r="A391" s="2" t="str">
        <x:v>SIM-202604-025</x:v>
      </x:c>
      <x:c r="B391" s="2" t="str">
        <x:v>Hamburguesa especial</x:v>
      </x:c>
      <x:c r="C391" s="2" t="str"/>
      <x:c r="D391" s="2" t="n">
        <x:v>1</x:v>
      </x:c>
      <x:c r="E391" s="10" t="n">
        <x:v>20000</x:v>
      </x:c>
      <x:c r="F391" s="10" t="n">
        <x:v>20000</x:v>
      </x:c>
      <x:c r="G391" s="8" t="n">
        <x:f>INDEX('Órdenes'!$B$7:$B$334,MATCH(A391,'Órdenes'!$A$7:$A$334,0))</x:f>
        <x:v>46130</x:v>
      </x:c>
      <x:c r="H391" s="11" t="n">
        <x:f>DATE(YEAR(G391),MONTH(G391),1)</x:f>
        <x:v>46113</x:v>
      </x:c>
    </x:row>
    <x:row r="392" ht="23" customHeight="1">
      <x:c r="A392" s="2" t="str">
        <x:v>SIM-202604-025</x:v>
      </x:c>
      <x:c r="B392" s="2" t="str">
        <x:v>Perro caliente</x:v>
      </x:c>
      <x:c r="C392" s="2" t="str"/>
      <x:c r="D392" s="2" t="n">
        <x:v>1</x:v>
      </x:c>
      <x:c r="E392" s="10" t="n">
        <x:v>13000</x:v>
      </x:c>
      <x:c r="F392" s="10" t="n">
        <x:v>13000</x:v>
      </x:c>
      <x:c r="G392" s="8" t="n">
        <x:f>INDEX('Órdenes'!$B$7:$B$334,MATCH(A392,'Órdenes'!$A$7:$A$334,0))</x:f>
        <x:v>46130</x:v>
      </x:c>
      <x:c r="H392" s="11" t="n">
        <x:f>DATE(YEAR(G392),MONTH(G392),1)</x:f>
        <x:v>46113</x:v>
      </x:c>
    </x:row>
    <x:row r="393" ht="23" customHeight="1">
      <x:c r="A393" s="2" t="str">
        <x:v>SIM-202604-025</x:v>
      </x:c>
      <x:c r="B393" s="2" t="str">
        <x:v>Salchipapas</x:v>
      </x:c>
      <x:c r="C393" s="2" t="str"/>
      <x:c r="D393" s="2" t="n">
        <x:v>1</x:v>
      </x:c>
      <x:c r="E393" s="10" t="n">
        <x:v>12000</x:v>
      </x:c>
      <x:c r="F393" s="10" t="n">
        <x:v>12000</x:v>
      </x:c>
      <x:c r="G393" s="8" t="n">
        <x:f>INDEX('Órdenes'!$B$7:$B$334,MATCH(A393,'Órdenes'!$A$7:$A$334,0))</x:f>
        <x:v>46130</x:v>
      </x:c>
      <x:c r="H393" s="11" t="n">
        <x:f>DATE(YEAR(G393),MONTH(G393),1)</x:f>
        <x:v>46113</x:v>
      </x:c>
    </x:row>
    <x:row r="394" ht="23" customHeight="1">
      <x:c r="A394" s="2" t="str">
        <x:v>SIM-202604-025</x:v>
      </x:c>
      <x:c r="B394" s="2" t="str">
        <x:v>Gaseosas</x:v>
      </x:c>
      <x:c r="C394" s="2" t="str">
        <x:v>Coca-Cola</x:v>
      </x:c>
      <x:c r="D394" s="2" t="n">
        <x:v>2</x:v>
      </x:c>
      <x:c r="E394" s="10" t="n">
        <x:v>5000</x:v>
      </x:c>
      <x:c r="F394" s="10" t="n">
        <x:v>10000</x:v>
      </x:c>
      <x:c r="G394" s="8" t="n">
        <x:f>INDEX('Órdenes'!$B$7:$B$334,MATCH(A394,'Órdenes'!$A$7:$A$334,0))</x:f>
        <x:v>46130</x:v>
      </x:c>
      <x:c r="H394" s="11" t="n">
        <x:f>DATE(YEAR(G394),MONTH(G394),1)</x:f>
        <x:v>46113</x:v>
      </x:c>
    </x:row>
    <x:row r="395" ht="23" customHeight="1">
      <x:c r="A395" s="2" t="str">
        <x:v>SIM-202604-025</x:v>
      </x:c>
      <x:c r="B395" s="2" t="str">
        <x:v>Gaseosas</x:v>
      </x:c>
      <x:c r="C395" s="2" t="str">
        <x:v>Manzana</x:v>
      </x:c>
      <x:c r="D395" s="2" t="n">
        <x:v>1</x:v>
      </x:c>
      <x:c r="E395" s="10" t="n">
        <x:v>5000</x:v>
      </x:c>
      <x:c r="F395" s="10" t="n">
        <x:v>5000</x:v>
      </x:c>
      <x:c r="G395" s="8" t="n">
        <x:f>INDEX('Órdenes'!$B$7:$B$334,MATCH(A395,'Órdenes'!$A$7:$A$334,0))</x:f>
        <x:v>46130</x:v>
      </x:c>
      <x:c r="H395" s="11" t="n">
        <x:f>DATE(YEAR(G395),MONTH(G395),1)</x:f>
        <x:v>46113</x:v>
      </x:c>
    </x:row>
    <x:row r="396" ht="23" customHeight="1">
      <x:c r="A396" s="2" t="str">
        <x:v>SIM-202604-026</x:v>
      </x:c>
      <x:c r="B396" s="2" t="str">
        <x:v>Perro caliente</x:v>
      </x:c>
      <x:c r="C396" s="2" t="str"/>
      <x:c r="D396" s="2" t="n">
        <x:v>1</x:v>
      </x:c>
      <x:c r="E396" s="10" t="n">
        <x:v>13000</x:v>
      </x:c>
      <x:c r="F396" s="10" t="n">
        <x:v>13000</x:v>
      </x:c>
      <x:c r="G396" s="8" t="n">
        <x:f>INDEX('Órdenes'!$B$7:$B$334,MATCH(A396,'Órdenes'!$A$7:$A$334,0))</x:f>
        <x:v>46131</x:v>
      </x:c>
      <x:c r="H396" s="11" t="n">
        <x:f>DATE(YEAR(G396),MONTH(G396),1)</x:f>
        <x:v>46113</x:v>
      </x:c>
    </x:row>
    <x:row r="397" ht="23" customHeight="1">
      <x:c r="A397" s="2" t="str">
        <x:v>SIM-202604-026</x:v>
      </x:c>
      <x:c r="B397" s="2" t="str">
        <x:v>Gaseosas</x:v>
      </x:c>
      <x:c r="C397" s="2" t="str">
        <x:v>Coca-Cola</x:v>
      </x:c>
      <x:c r="D397" s="2" t="n">
        <x:v>1</x:v>
      </x:c>
      <x:c r="E397" s="10" t="n">
        <x:v>5000</x:v>
      </x:c>
      <x:c r="F397" s="10" t="n">
        <x:v>5000</x:v>
      </x:c>
      <x:c r="G397" s="8" t="n">
        <x:f>INDEX('Órdenes'!$B$7:$B$334,MATCH(A397,'Órdenes'!$A$7:$A$334,0))</x:f>
        <x:v>46131</x:v>
      </x:c>
      <x:c r="H397" s="11" t="n">
        <x:f>DATE(YEAR(G397),MONTH(G397),1)</x:f>
        <x:v>46113</x:v>
      </x:c>
    </x:row>
    <x:row r="398" ht="23" customHeight="1">
      <x:c r="A398" s="2" t="str">
        <x:v>SIM-202604-027</x:v>
      </x:c>
      <x:c r="B398" s="2" t="str">
        <x:v>Perro caliente</x:v>
      </x:c>
      <x:c r="C398" s="2" t="str"/>
      <x:c r="D398" s="2" t="n">
        <x:v>1</x:v>
      </x:c>
      <x:c r="E398" s="10" t="n">
        <x:v>13000</x:v>
      </x:c>
      <x:c r="F398" s="10" t="n">
        <x:v>13000</x:v>
      </x:c>
      <x:c r="G398" s="8" t="n">
        <x:f>INDEX('Órdenes'!$B$7:$B$334,MATCH(A398,'Órdenes'!$A$7:$A$334,0))</x:f>
        <x:v>46133</x:v>
      </x:c>
      <x:c r="H398" s="11" t="n">
        <x:f>DATE(YEAR(G398),MONTH(G398),1)</x:f>
        <x:v>46113</x:v>
      </x:c>
    </x:row>
    <x:row r="399" ht="23" customHeight="1">
      <x:c r="A399" s="2" t="str">
        <x:v>SIM-202604-027</x:v>
      </x:c>
      <x:c r="B399" s="2" t="str">
        <x:v>Gaseosas</x:v>
      </x:c>
      <x:c r="C399" s="2" t="str">
        <x:v>Coca-Cola</x:v>
      </x:c>
      <x:c r="D399" s="2" t="n">
        <x:v>1</x:v>
      </x:c>
      <x:c r="E399" s="10" t="n">
        <x:v>5000</x:v>
      </x:c>
      <x:c r="F399" s="10" t="n">
        <x:v>5000</x:v>
      </x:c>
      <x:c r="G399" s="8" t="n">
        <x:f>INDEX('Órdenes'!$B$7:$B$334,MATCH(A399,'Órdenes'!$A$7:$A$334,0))</x:f>
        <x:v>46133</x:v>
      </x:c>
      <x:c r="H399" s="11" t="n">
        <x:f>DATE(YEAR(G399),MONTH(G399),1)</x:f>
        <x:v>46113</x:v>
      </x:c>
    </x:row>
    <x:row r="400" ht="23" customHeight="1">
      <x:c r="A400" s="2" t="str">
        <x:v>SIM-202604-028</x:v>
      </x:c>
      <x:c r="B400" s="2" t="str">
        <x:v>Hamburguesa especial</x:v>
      </x:c>
      <x:c r="C400" s="2" t="str"/>
      <x:c r="D400" s="2" t="n">
        <x:v>1</x:v>
      </x:c>
      <x:c r="E400" s="10" t="n">
        <x:v>20000</x:v>
      </x:c>
      <x:c r="F400" s="10" t="n">
        <x:v>20000</x:v>
      </x:c>
      <x:c r="G400" s="8" t="n">
        <x:f>INDEX('Órdenes'!$B$7:$B$334,MATCH(A400,'Órdenes'!$A$7:$A$334,0))</x:f>
        <x:v>46133</x:v>
      </x:c>
      <x:c r="H400" s="11" t="n">
        <x:f>DATE(YEAR(G400),MONTH(G400),1)</x:f>
        <x:v>46113</x:v>
      </x:c>
    </x:row>
    <x:row r="401" ht="23" customHeight="1">
      <x:c r="A401" s="2" t="str">
        <x:v>SIM-202604-028</x:v>
      </x:c>
      <x:c r="B401" s="2" t="str">
        <x:v>Gaseosas</x:v>
      </x:c>
      <x:c r="C401" s="2" t="str">
        <x:v>Coca-Cola</x:v>
      </x:c>
      <x:c r="D401" s="2" t="n">
        <x:v>1</x:v>
      </x:c>
      <x:c r="E401" s="10" t="n">
        <x:v>5000</x:v>
      </x:c>
      <x:c r="F401" s="10" t="n">
        <x:v>5000</x:v>
      </x:c>
      <x:c r="G401" s="8" t="n">
        <x:f>INDEX('Órdenes'!$B$7:$B$334,MATCH(A401,'Órdenes'!$A$7:$A$334,0))</x:f>
        <x:v>46133</x:v>
      </x:c>
      <x:c r="H401" s="11" t="n">
        <x:f>DATE(YEAR(G401),MONTH(G401),1)</x:f>
        <x:v>46113</x:v>
      </x:c>
    </x:row>
    <x:row r="402" ht="23" customHeight="1">
      <x:c r="A402" s="2" t="str">
        <x:v>SIM-202604-029</x:v>
      </x:c>
      <x:c r="B402" s="2" t="str">
        <x:v>Hamburguesa Clásica</x:v>
      </x:c>
      <x:c r="C402" s="2" t="str"/>
      <x:c r="D402" s="2" t="n">
        <x:v>1</x:v>
      </x:c>
      <x:c r="E402" s="10" t="n">
        <x:v>15000</x:v>
      </x:c>
      <x:c r="F402" s="10" t="n">
        <x:v>15000</x:v>
      </x:c>
      <x:c r="G402" s="8" t="n">
        <x:f>INDEX('Órdenes'!$B$7:$B$334,MATCH(A402,'Órdenes'!$A$7:$A$334,0))</x:f>
        <x:v>46133</x:v>
      </x:c>
      <x:c r="H402" s="11" t="n">
        <x:f>DATE(YEAR(G402),MONTH(G402),1)</x:f>
        <x:v>46113</x:v>
      </x:c>
    </x:row>
    <x:row r="403" ht="23" customHeight="1">
      <x:c r="A403" s="2" t="str">
        <x:v>SIM-202604-029</x:v>
      </x:c>
      <x:c r="B403" s="2" t="str">
        <x:v>Gaseosas</x:v>
      </x:c>
      <x:c r="C403" s="2" t="str">
        <x:v>Coca-Cola</x:v>
      </x:c>
      <x:c r="D403" s="2" t="n">
        <x:v>1</x:v>
      </x:c>
      <x:c r="E403" s="10" t="n">
        <x:v>5000</x:v>
      </x:c>
      <x:c r="F403" s="10" t="n">
        <x:v>5000</x:v>
      </x:c>
      <x:c r="G403" s="8" t="n">
        <x:f>INDEX('Órdenes'!$B$7:$B$334,MATCH(A403,'Órdenes'!$A$7:$A$334,0))</x:f>
        <x:v>46133</x:v>
      </x:c>
      <x:c r="H403" s="11" t="n">
        <x:f>DATE(YEAR(G403),MONTH(G403),1)</x:f>
        <x:v>46113</x:v>
      </x:c>
    </x:row>
    <x:row r="404" ht="23" customHeight="1">
      <x:c r="A404" s="2" t="str">
        <x:v>SIM-202604-030</x:v>
      </x:c>
      <x:c r="B404" s="2" t="str">
        <x:v>Hamburguesa Clásica</x:v>
      </x:c>
      <x:c r="C404" s="2" t="str"/>
      <x:c r="D404" s="2" t="n">
        <x:v>1</x:v>
      </x:c>
      <x:c r="E404" s="10" t="n">
        <x:v>15000</x:v>
      </x:c>
      <x:c r="F404" s="10" t="n">
        <x:v>15000</x:v>
      </x:c>
      <x:c r="G404" s="8" t="n">
        <x:f>INDEX('Órdenes'!$B$7:$B$334,MATCH(A404,'Órdenes'!$A$7:$A$334,0))</x:f>
        <x:v>46133</x:v>
      </x:c>
      <x:c r="H404" s="11" t="n">
        <x:f>DATE(YEAR(G404),MONTH(G404),1)</x:f>
        <x:v>46113</x:v>
      </x:c>
    </x:row>
    <x:row r="405" ht="23" customHeight="1">
      <x:c r="A405" s="2" t="str">
        <x:v>SIM-202604-030</x:v>
      </x:c>
      <x:c r="B405" s="2" t="str">
        <x:v>Perro caliente</x:v>
      </x:c>
      <x:c r="C405" s="2" t="str"/>
      <x:c r="D405" s="2" t="n">
        <x:v>1</x:v>
      </x:c>
      <x:c r="E405" s="10" t="n">
        <x:v>13000</x:v>
      </x:c>
      <x:c r="F405" s="10" t="n">
        <x:v>13000</x:v>
      </x:c>
      <x:c r="G405" s="8" t="n">
        <x:f>INDEX('Órdenes'!$B$7:$B$334,MATCH(A405,'Órdenes'!$A$7:$A$334,0))</x:f>
        <x:v>46133</x:v>
      </x:c>
      <x:c r="H405" s="11" t="n">
        <x:f>DATE(YEAR(G405),MONTH(G405),1)</x:f>
        <x:v>46113</x:v>
      </x:c>
    </x:row>
    <x:row r="406" ht="23" customHeight="1">
      <x:c r="A406" s="2" t="str">
        <x:v>SIM-202604-030</x:v>
      </x:c>
      <x:c r="B406" s="2" t="str">
        <x:v>Salchipapas</x:v>
      </x:c>
      <x:c r="C406" s="2" t="str"/>
      <x:c r="D406" s="2" t="n">
        <x:v>1</x:v>
      </x:c>
      <x:c r="E406" s="10" t="n">
        <x:v>12000</x:v>
      </x:c>
      <x:c r="F406" s="10" t="n">
        <x:v>12000</x:v>
      </x:c>
      <x:c r="G406" s="8" t="n">
        <x:f>INDEX('Órdenes'!$B$7:$B$334,MATCH(A406,'Órdenes'!$A$7:$A$334,0))</x:f>
        <x:v>46133</x:v>
      </x:c>
      <x:c r="H406" s="11" t="n">
        <x:f>DATE(YEAR(G406),MONTH(G406),1)</x:f>
        <x:v>46113</x:v>
      </x:c>
    </x:row>
    <x:row r="407" ht="23" customHeight="1">
      <x:c r="A407" s="2" t="str">
        <x:v>SIM-202604-030</x:v>
      </x:c>
      <x:c r="B407" s="2" t="str">
        <x:v>Gaseosas</x:v>
      </x:c>
      <x:c r="C407" s="2" t="str">
        <x:v>Coca-Cola</x:v>
      </x:c>
      <x:c r="D407" s="2" t="n">
        <x:v>1</x:v>
      </x:c>
      <x:c r="E407" s="10" t="n">
        <x:v>5000</x:v>
      </x:c>
      <x:c r="F407" s="10" t="n">
        <x:v>5000</x:v>
      </x:c>
      <x:c r="G407" s="8" t="n">
        <x:f>INDEX('Órdenes'!$B$7:$B$334,MATCH(A407,'Órdenes'!$A$7:$A$334,0))</x:f>
        <x:v>46133</x:v>
      </x:c>
      <x:c r="H407" s="11" t="n">
        <x:f>DATE(YEAR(G407),MONTH(G407),1)</x:f>
        <x:v>46113</x:v>
      </x:c>
    </x:row>
    <x:row r="408" ht="23" customHeight="1">
      <x:c r="A408" s="2" t="str">
        <x:v>SIM-202604-030</x:v>
      </x:c>
      <x:c r="B408" s="2" t="str">
        <x:v>Gaseosas</x:v>
      </x:c>
      <x:c r="C408" s="2" t="str">
        <x:v>Sprite</x:v>
      </x:c>
      <x:c r="D408" s="2" t="n">
        <x:v>1</x:v>
      </x:c>
      <x:c r="E408" s="10" t="n">
        <x:v>5000</x:v>
      </x:c>
      <x:c r="F408" s="10" t="n">
        <x:v>5000</x:v>
      </x:c>
      <x:c r="G408" s="8" t="n">
        <x:f>INDEX('Órdenes'!$B$7:$B$334,MATCH(A408,'Órdenes'!$A$7:$A$334,0))</x:f>
        <x:v>46133</x:v>
      </x:c>
      <x:c r="H408" s="11" t="n">
        <x:f>DATE(YEAR(G408),MONTH(G408),1)</x:f>
        <x:v>46113</x:v>
      </x:c>
    </x:row>
    <x:row r="409" ht="23" customHeight="1">
      <x:c r="A409" s="2" t="str">
        <x:v>SIM-202604-031</x:v>
      </x:c>
      <x:c r="B409" s="2" t="str">
        <x:v>Perro caliente</x:v>
      </x:c>
      <x:c r="C409" s="2" t="str"/>
      <x:c r="D409" s="2" t="n">
        <x:v>1</x:v>
      </x:c>
      <x:c r="E409" s="10" t="n">
        <x:v>13000</x:v>
      </x:c>
      <x:c r="F409" s="10" t="n">
        <x:v>13000</x:v>
      </x:c>
      <x:c r="G409" s="8" t="n">
        <x:f>INDEX('Órdenes'!$B$7:$B$334,MATCH(A409,'Órdenes'!$A$7:$A$334,0))</x:f>
        <x:v>46135</x:v>
      </x:c>
      <x:c r="H409" s="11" t="n">
        <x:f>DATE(YEAR(G409),MONTH(G409),1)</x:f>
        <x:v>46113</x:v>
      </x:c>
    </x:row>
    <x:row r="410" ht="23" customHeight="1">
      <x:c r="A410" s="2" t="str">
        <x:v>SIM-202604-031</x:v>
      </x:c>
      <x:c r="B410" s="2" t="str">
        <x:v>Gaseosas</x:v>
      </x:c>
      <x:c r="C410" s="2" t="str">
        <x:v>Coca-Cola</x:v>
      </x:c>
      <x:c r="D410" s="2" t="n">
        <x:v>1</x:v>
      </x:c>
      <x:c r="E410" s="10" t="n">
        <x:v>5000</x:v>
      </x:c>
      <x:c r="F410" s="10" t="n">
        <x:v>5000</x:v>
      </x:c>
      <x:c r="G410" s="8" t="n">
        <x:f>INDEX('Órdenes'!$B$7:$B$334,MATCH(A410,'Órdenes'!$A$7:$A$334,0))</x:f>
        <x:v>46135</x:v>
      </x:c>
      <x:c r="H410" s="11" t="n">
        <x:f>DATE(YEAR(G410),MONTH(G410),1)</x:f>
        <x:v>46113</x:v>
      </x:c>
    </x:row>
    <x:row r="411" ht="23" customHeight="1">
      <x:c r="A411" s="2" t="str">
        <x:v>SIM-202604-032</x:v>
      </x:c>
      <x:c r="B411" s="2" t="str">
        <x:v>Hamburguesa Clásica</x:v>
      </x:c>
      <x:c r="C411" s="2" t="str"/>
      <x:c r="D411" s="2" t="n">
        <x:v>1</x:v>
      </x:c>
      <x:c r="E411" s="10" t="n">
        <x:v>15000</x:v>
      </x:c>
      <x:c r="F411" s="10" t="n">
        <x:v>15000</x:v>
      </x:c>
      <x:c r="G411" s="8" t="n">
        <x:f>INDEX('Órdenes'!$B$7:$B$334,MATCH(A411,'Órdenes'!$A$7:$A$334,0))</x:f>
        <x:v>46137</x:v>
      </x:c>
      <x:c r="H411" s="11" t="n">
        <x:f>DATE(YEAR(G411),MONTH(G411),1)</x:f>
        <x:v>46113</x:v>
      </x:c>
    </x:row>
    <x:row r="412" ht="23" customHeight="1">
      <x:c r="A412" s="2" t="str">
        <x:v>SIM-202604-032</x:v>
      </x:c>
      <x:c r="B412" s="2" t="str">
        <x:v>Hamburguesa especial</x:v>
      </x:c>
      <x:c r="C412" s="2" t="str"/>
      <x:c r="D412" s="2" t="n">
        <x:v>1</x:v>
      </x:c>
      <x:c r="E412" s="10" t="n">
        <x:v>20000</x:v>
      </x:c>
      <x:c r="F412" s="10" t="n">
        <x:v>20000</x:v>
      </x:c>
      <x:c r="G412" s="8" t="n">
        <x:f>INDEX('Órdenes'!$B$7:$B$334,MATCH(A412,'Órdenes'!$A$7:$A$334,0))</x:f>
        <x:v>46137</x:v>
      </x:c>
      <x:c r="H412" s="11" t="n">
        <x:f>DATE(YEAR(G412),MONTH(G412),1)</x:f>
        <x:v>46113</x:v>
      </x:c>
    </x:row>
    <x:row r="413" ht="23" customHeight="1">
      <x:c r="A413" s="2" t="str">
        <x:v>SIM-202604-032</x:v>
      </x:c>
      <x:c r="B413" s="2" t="str">
        <x:v>Gaseosas</x:v>
      </x:c>
      <x:c r="C413" s="2" t="str">
        <x:v>Coca-Cola</x:v>
      </x:c>
      <x:c r="D413" s="2" t="n">
        <x:v>1</x:v>
      </x:c>
      <x:c r="E413" s="10" t="n">
        <x:v>5000</x:v>
      </x:c>
      <x:c r="F413" s="10" t="n">
        <x:v>5000</x:v>
      </x:c>
      <x:c r="G413" s="8" t="n">
        <x:f>INDEX('Órdenes'!$B$7:$B$334,MATCH(A413,'Órdenes'!$A$7:$A$334,0))</x:f>
        <x:v>46137</x:v>
      </x:c>
      <x:c r="H413" s="11" t="n">
        <x:f>DATE(YEAR(G413),MONTH(G413),1)</x:f>
        <x:v>46113</x:v>
      </x:c>
    </x:row>
    <x:row r="414" ht="23" customHeight="1">
      <x:c r="A414" s="2" t="str">
        <x:v>SIM-202604-033</x:v>
      </x:c>
      <x:c r="B414" s="2" t="str">
        <x:v>Hamburguesa Clásica</x:v>
      </x:c>
      <x:c r="C414" s="2" t="str"/>
      <x:c r="D414" s="2" t="n">
        <x:v>1</x:v>
      </x:c>
      <x:c r="E414" s="10" t="n">
        <x:v>15000</x:v>
      </x:c>
      <x:c r="F414" s="10" t="n">
        <x:v>15000</x:v>
      </x:c>
      <x:c r="G414" s="8" t="n">
        <x:f>INDEX('Órdenes'!$B$7:$B$334,MATCH(A414,'Órdenes'!$A$7:$A$334,0))</x:f>
        <x:v>46137</x:v>
      </x:c>
      <x:c r="H414" s="11" t="n">
        <x:f>DATE(YEAR(G414),MONTH(G414),1)</x:f>
        <x:v>46113</x:v>
      </x:c>
    </x:row>
    <x:row r="415" ht="23" customHeight="1">
      <x:c r="A415" s="2" t="str">
        <x:v>SIM-202604-034</x:v>
      </x:c>
      <x:c r="B415" s="2" t="str">
        <x:v>Hamburguesa Clásica</x:v>
      </x:c>
      <x:c r="C415" s="2" t="str"/>
      <x:c r="D415" s="2" t="n">
        <x:v>1</x:v>
      </x:c>
      <x:c r="E415" s="10" t="n">
        <x:v>15000</x:v>
      </x:c>
      <x:c r="F415" s="10" t="n">
        <x:v>15000</x:v>
      </x:c>
      <x:c r="G415" s="8" t="n">
        <x:f>INDEX('Órdenes'!$B$7:$B$334,MATCH(A415,'Órdenes'!$A$7:$A$334,0))</x:f>
        <x:v>46137</x:v>
      </x:c>
      <x:c r="H415" s="11" t="n">
        <x:f>DATE(YEAR(G415),MONTH(G415),1)</x:f>
        <x:v>46113</x:v>
      </x:c>
    </x:row>
    <x:row r="416" ht="23" customHeight="1">
      <x:c r="A416" s="2" t="str">
        <x:v>SIM-202604-035</x:v>
      </x:c>
      <x:c r="B416" s="2" t="str">
        <x:v>Hamburguesa Clásica</x:v>
      </x:c>
      <x:c r="C416" s="2" t="str"/>
      <x:c r="D416" s="2" t="n">
        <x:v>2</x:v>
      </x:c>
      <x:c r="E416" s="10" t="n">
        <x:v>15000</x:v>
      </x:c>
      <x:c r="F416" s="10" t="n">
        <x:v>30000</x:v>
      </x:c>
      <x:c r="G416" s="8" t="n">
        <x:f>INDEX('Órdenes'!$B$7:$B$334,MATCH(A416,'Órdenes'!$A$7:$A$334,0))</x:f>
        <x:v>46137</x:v>
      </x:c>
      <x:c r="H416" s="11" t="n">
        <x:f>DATE(YEAR(G416),MONTH(G416),1)</x:f>
        <x:v>46113</x:v>
      </x:c>
    </x:row>
    <x:row r="417" ht="23" customHeight="1">
      <x:c r="A417" s="2" t="str">
        <x:v>SIM-202604-035</x:v>
      </x:c>
      <x:c r="B417" s="2" t="str">
        <x:v>Gaseosas</x:v>
      </x:c>
      <x:c r="C417" s="2" t="str">
        <x:v>Coca-Cola</x:v>
      </x:c>
      <x:c r="D417" s="2" t="n">
        <x:v>2</x:v>
      </x:c>
      <x:c r="E417" s="10" t="n">
        <x:v>5000</x:v>
      </x:c>
      <x:c r="F417" s="10" t="n">
        <x:v>10000</x:v>
      </x:c>
      <x:c r="G417" s="8" t="n">
        <x:f>INDEX('Órdenes'!$B$7:$B$334,MATCH(A417,'Órdenes'!$A$7:$A$334,0))</x:f>
        <x:v>46137</x:v>
      </x:c>
      <x:c r="H417" s="11" t="n">
        <x:f>DATE(YEAR(G417),MONTH(G417),1)</x:f>
        <x:v>46113</x:v>
      </x:c>
    </x:row>
    <x:row r="418" ht="23" customHeight="1">
      <x:c r="A418" s="2" t="str">
        <x:v>SIM-202604-036</x:v>
      </x:c>
      <x:c r="B418" s="2" t="str">
        <x:v>Hamburguesa especial</x:v>
      </x:c>
      <x:c r="C418" s="2" t="str"/>
      <x:c r="D418" s="2" t="n">
        <x:v>2</x:v>
      </x:c>
      <x:c r="E418" s="10" t="n">
        <x:v>20000</x:v>
      </x:c>
      <x:c r="F418" s="10" t="n">
        <x:v>40000</x:v>
      </x:c>
      <x:c r="G418" s="8" t="n">
        <x:f>INDEX('Órdenes'!$B$7:$B$334,MATCH(A418,'Órdenes'!$A$7:$A$334,0))</x:f>
        <x:v>46137</x:v>
      </x:c>
      <x:c r="H418" s="11" t="n">
        <x:f>DATE(YEAR(G418),MONTH(G418),1)</x:f>
        <x:v>46113</x:v>
      </x:c>
    </x:row>
    <x:row r="419" ht="23" customHeight="1">
      <x:c r="A419" s="2" t="str">
        <x:v>SIM-202604-036</x:v>
      </x:c>
      <x:c r="B419" s="2" t="str">
        <x:v>Gaseosas</x:v>
      </x:c>
      <x:c r="C419" s="2" t="str">
        <x:v>Coca-Cola</x:v>
      </x:c>
      <x:c r="D419" s="2" t="n">
        <x:v>2</x:v>
      </x:c>
      <x:c r="E419" s="10" t="n">
        <x:v>5000</x:v>
      </x:c>
      <x:c r="F419" s="10" t="n">
        <x:v>10000</x:v>
      </x:c>
      <x:c r="G419" s="8" t="n">
        <x:f>INDEX('Órdenes'!$B$7:$B$334,MATCH(A419,'Órdenes'!$A$7:$A$334,0))</x:f>
        <x:v>46137</x:v>
      </x:c>
      <x:c r="H419" s="11" t="n">
        <x:f>DATE(YEAR(G419),MONTH(G419),1)</x:f>
        <x:v>46113</x:v>
      </x:c>
    </x:row>
    <x:row r="420" ht="23" customHeight="1">
      <x:c r="A420" s="2" t="str">
        <x:v>SIM-202604-037</x:v>
      </x:c>
      <x:c r="B420" s="2" t="str">
        <x:v>Perro caliente</x:v>
      </x:c>
      <x:c r="C420" s="2" t="str"/>
      <x:c r="D420" s="2" t="n">
        <x:v>2</x:v>
      </x:c>
      <x:c r="E420" s="10" t="n">
        <x:v>13000</x:v>
      </x:c>
      <x:c r="F420" s="10" t="n">
        <x:v>26000</x:v>
      </x:c>
      <x:c r="G420" s="8" t="n">
        <x:f>INDEX('Órdenes'!$B$7:$B$334,MATCH(A420,'Órdenes'!$A$7:$A$334,0))</x:f>
        <x:v>46138</x:v>
      </x:c>
      <x:c r="H420" s="11" t="n">
        <x:f>DATE(YEAR(G420),MONTH(G420),1)</x:f>
        <x:v>46113</x:v>
      </x:c>
    </x:row>
    <x:row r="421" ht="23" customHeight="1">
      <x:c r="A421" s="2" t="str">
        <x:v>SIM-202604-037</x:v>
      </x:c>
      <x:c r="B421" s="2" t="str">
        <x:v>Salchipapas</x:v>
      </x:c>
      <x:c r="C421" s="2" t="str"/>
      <x:c r="D421" s="2" t="n">
        <x:v>2</x:v>
      </x:c>
      <x:c r="E421" s="10" t="n">
        <x:v>12000</x:v>
      </x:c>
      <x:c r="F421" s="10" t="n">
        <x:v>24000</x:v>
      </x:c>
      <x:c r="G421" s="8" t="n">
        <x:f>INDEX('Órdenes'!$B$7:$B$334,MATCH(A421,'Órdenes'!$A$7:$A$334,0))</x:f>
        <x:v>46138</x:v>
      </x:c>
      <x:c r="H421" s="11" t="n">
        <x:f>DATE(YEAR(G421),MONTH(G421),1)</x:f>
        <x:v>46113</x:v>
      </x:c>
    </x:row>
    <x:row r="422" ht="23" customHeight="1">
      <x:c r="A422" s="2" t="str">
        <x:v>SIM-202604-037</x:v>
      </x:c>
      <x:c r="B422" s="2" t="str">
        <x:v>Gaseosas</x:v>
      </x:c>
      <x:c r="C422" s="2" t="str">
        <x:v>Coca-Cola</x:v>
      </x:c>
      <x:c r="D422" s="2" t="n">
        <x:v>2</x:v>
      </x:c>
      <x:c r="E422" s="10" t="n">
        <x:v>5000</x:v>
      </x:c>
      <x:c r="F422" s="10" t="n">
        <x:v>10000</x:v>
      </x:c>
      <x:c r="G422" s="8" t="n">
        <x:f>INDEX('Órdenes'!$B$7:$B$334,MATCH(A422,'Órdenes'!$A$7:$A$334,0))</x:f>
        <x:v>46138</x:v>
      </x:c>
      <x:c r="H422" s="11" t="n">
        <x:f>DATE(YEAR(G422),MONTH(G422),1)</x:f>
        <x:v>46113</x:v>
      </x:c>
    </x:row>
    <x:row r="423" ht="23" customHeight="1">
      <x:c r="A423" s="2" t="str">
        <x:v>SIM-202604-038</x:v>
      </x:c>
      <x:c r="B423" s="2" t="str">
        <x:v>Hamburguesa Clásica</x:v>
      </x:c>
      <x:c r="C423" s="2" t="str"/>
      <x:c r="D423" s="2" t="n">
        <x:v>1</x:v>
      </x:c>
      <x:c r="E423" s="10" t="n">
        <x:v>15000</x:v>
      </x:c>
      <x:c r="F423" s="10" t="n">
        <x:v>15000</x:v>
      </x:c>
      <x:c r="G423" s="8" t="n">
        <x:f>INDEX('Órdenes'!$B$7:$B$334,MATCH(A423,'Órdenes'!$A$7:$A$334,0))</x:f>
        <x:v>46141</x:v>
      </x:c>
      <x:c r="H423" s="11" t="n">
        <x:f>DATE(YEAR(G423),MONTH(G423),1)</x:f>
        <x:v>46113</x:v>
      </x:c>
    </x:row>
    <x:row r="424" ht="23" customHeight="1">
      <x:c r="A424" s="2" t="str">
        <x:v>SIM-202604-038</x:v>
      </x:c>
      <x:c r="B424" s="2" t="str">
        <x:v>Perro caliente</x:v>
      </x:c>
      <x:c r="C424" s="2" t="str"/>
      <x:c r="D424" s="2" t="n">
        <x:v>1</x:v>
      </x:c>
      <x:c r="E424" s="10" t="n">
        <x:v>13000</x:v>
      </x:c>
      <x:c r="F424" s="10" t="n">
        <x:v>13000</x:v>
      </x:c>
      <x:c r="G424" s="8" t="n">
        <x:f>INDEX('Órdenes'!$B$7:$B$334,MATCH(A424,'Órdenes'!$A$7:$A$334,0))</x:f>
        <x:v>46141</x:v>
      </x:c>
      <x:c r="H424" s="11" t="n">
        <x:f>DATE(YEAR(G424),MONTH(G424),1)</x:f>
        <x:v>46113</x:v>
      </x:c>
    </x:row>
    <x:row r="425" ht="23" customHeight="1">
      <x:c r="A425" s="2" t="str">
        <x:v>SIM-202604-038</x:v>
      </x:c>
      <x:c r="B425" s="2" t="str">
        <x:v>Gaseosas</x:v>
      </x:c>
      <x:c r="C425" s="2" t="str">
        <x:v>Coca-Cola</x:v>
      </x:c>
      <x:c r="D425" s="2" t="n">
        <x:v>2</x:v>
      </x:c>
      <x:c r="E425" s="10" t="n">
        <x:v>5000</x:v>
      </x:c>
      <x:c r="F425" s="10" t="n">
        <x:v>10000</x:v>
      </x:c>
      <x:c r="G425" s="8" t="n">
        <x:f>INDEX('Órdenes'!$B$7:$B$334,MATCH(A425,'Órdenes'!$A$7:$A$334,0))</x:f>
        <x:v>46141</x:v>
      </x:c>
      <x:c r="H425" s="11" t="n">
        <x:f>DATE(YEAR(G425),MONTH(G425),1)</x:f>
        <x:v>46113</x:v>
      </x:c>
    </x:row>
    <x:row r="426" ht="23" customHeight="1">
      <x:c r="A426" s="2" t="str">
        <x:v>SIM-202605-001</x:v>
      </x:c>
      <x:c r="B426" s="2" t="str">
        <x:v>Hamburguesa Clásica</x:v>
      </x:c>
      <x:c r="C426" s="2" t="str"/>
      <x:c r="D426" s="2" t="n">
        <x:v>1</x:v>
      </x:c>
      <x:c r="E426" s="10" t="n">
        <x:v>15000</x:v>
      </x:c>
      <x:c r="F426" s="10" t="n">
        <x:v>15000</x:v>
      </x:c>
      <x:c r="G426" s="8" t="n">
        <x:f>INDEX('Órdenes'!$B$7:$B$334,MATCH(A426,'Órdenes'!$A$7:$A$334,0))</x:f>
        <x:v>46143</x:v>
      </x:c>
      <x:c r="H426" s="11" t="n">
        <x:f>DATE(YEAR(G426),MONTH(G426),1)</x:f>
        <x:v>46143</x:v>
      </x:c>
    </x:row>
    <x:row r="427" ht="23" customHeight="1">
      <x:c r="A427" s="2" t="str">
        <x:v>SIM-202605-001</x:v>
      </x:c>
      <x:c r="B427" s="2" t="str">
        <x:v>Perro caliente</x:v>
      </x:c>
      <x:c r="C427" s="2" t="str"/>
      <x:c r="D427" s="2" t="n">
        <x:v>2</x:v>
      </x:c>
      <x:c r="E427" s="10" t="n">
        <x:v>13000</x:v>
      </x:c>
      <x:c r="F427" s="10" t="n">
        <x:v>26000</x:v>
      </x:c>
      <x:c r="G427" s="8" t="n">
        <x:f>INDEX('Órdenes'!$B$7:$B$334,MATCH(A427,'Órdenes'!$A$7:$A$334,0))</x:f>
        <x:v>46143</x:v>
      </x:c>
      <x:c r="H427" s="11" t="n">
        <x:f>DATE(YEAR(G427),MONTH(G427),1)</x:f>
        <x:v>46143</x:v>
      </x:c>
    </x:row>
    <x:row r="428" ht="23" customHeight="1">
      <x:c r="A428" s="2" t="str">
        <x:v>SIM-202605-001</x:v>
      </x:c>
      <x:c r="B428" s="2" t="str">
        <x:v>Gaseosas</x:v>
      </x:c>
      <x:c r="C428" s="2" t="str">
        <x:v>Coca-Cola</x:v>
      </x:c>
      <x:c r="D428" s="2" t="n">
        <x:v>1</x:v>
      </x:c>
      <x:c r="E428" s="10" t="n">
        <x:v>5000</x:v>
      </x:c>
      <x:c r="F428" s="10" t="n">
        <x:v>5000</x:v>
      </x:c>
      <x:c r="G428" s="8" t="n">
        <x:f>INDEX('Órdenes'!$B$7:$B$334,MATCH(A428,'Órdenes'!$A$7:$A$334,0))</x:f>
        <x:v>46143</x:v>
      </x:c>
      <x:c r="H428" s="11" t="n">
        <x:f>DATE(YEAR(G428),MONTH(G428),1)</x:f>
        <x:v>46143</x:v>
      </x:c>
    </x:row>
    <x:row r="429" ht="23" customHeight="1">
      <x:c r="A429" s="2" t="str">
        <x:v>SIM-202605-001</x:v>
      </x:c>
      <x:c r="B429" s="2" t="str">
        <x:v>Gaseosas</x:v>
      </x:c>
      <x:c r="C429" s="2" t="str">
        <x:v>Sprite</x:v>
      </x:c>
      <x:c r="D429" s="2" t="n">
        <x:v>2</x:v>
      </x:c>
      <x:c r="E429" s="10" t="n">
        <x:v>5000</x:v>
      </x:c>
      <x:c r="F429" s="10" t="n">
        <x:v>10000</x:v>
      </x:c>
      <x:c r="G429" s="8" t="n">
        <x:f>INDEX('Órdenes'!$B$7:$B$334,MATCH(A429,'Órdenes'!$A$7:$A$334,0))</x:f>
        <x:v>46143</x:v>
      </x:c>
      <x:c r="H429" s="11" t="n">
        <x:f>DATE(YEAR(G429),MONTH(G429),1)</x:f>
        <x:v>46143</x:v>
      </x:c>
    </x:row>
    <x:row r="430" ht="23" customHeight="1">
      <x:c r="A430" s="2" t="str">
        <x:v>SIM-202605-002</x:v>
      </x:c>
      <x:c r="B430" s="2" t="str">
        <x:v>Hamburguesa Clásica</x:v>
      </x:c>
      <x:c r="C430" s="2" t="str"/>
      <x:c r="D430" s="2" t="n">
        <x:v>1</x:v>
      </x:c>
      <x:c r="E430" s="10" t="n">
        <x:v>15000</x:v>
      </x:c>
      <x:c r="F430" s="10" t="n">
        <x:v>15000</x:v>
      </x:c>
      <x:c r="G430" s="8" t="n">
        <x:f>INDEX('Órdenes'!$B$7:$B$334,MATCH(A430,'Órdenes'!$A$7:$A$334,0))</x:f>
        <x:v>46143</x:v>
      </x:c>
      <x:c r="H430" s="11" t="n">
        <x:f>DATE(YEAR(G430),MONTH(G430),1)</x:f>
        <x:v>46143</x:v>
      </x:c>
    </x:row>
    <x:row r="431" ht="23" customHeight="1">
      <x:c r="A431" s="2" t="str">
        <x:v>SIM-202605-002</x:v>
      </x:c>
      <x:c r="B431" s="2" t="str">
        <x:v>Hamburguesa especial</x:v>
      </x:c>
      <x:c r="C431" s="2" t="str"/>
      <x:c r="D431" s="2" t="n">
        <x:v>1</x:v>
      </x:c>
      <x:c r="E431" s="10" t="n">
        <x:v>20000</x:v>
      </x:c>
      <x:c r="F431" s="10" t="n">
        <x:v>20000</x:v>
      </x:c>
      <x:c r="G431" s="8" t="n">
        <x:f>INDEX('Órdenes'!$B$7:$B$334,MATCH(A431,'Órdenes'!$A$7:$A$334,0))</x:f>
        <x:v>46143</x:v>
      </x:c>
      <x:c r="H431" s="11" t="n">
        <x:f>DATE(YEAR(G431),MONTH(G431),1)</x:f>
        <x:v>46143</x:v>
      </x:c>
    </x:row>
    <x:row r="432" ht="23" customHeight="1">
      <x:c r="A432" s="2" t="str">
        <x:v>SIM-202605-002</x:v>
      </x:c>
      <x:c r="B432" s="2" t="str">
        <x:v>Gaseosas</x:v>
      </x:c>
      <x:c r="C432" s="2" t="str">
        <x:v>Coca-Cola</x:v>
      </x:c>
      <x:c r="D432" s="2" t="n">
        <x:v>2</x:v>
      </x:c>
      <x:c r="E432" s="10" t="n">
        <x:v>5000</x:v>
      </x:c>
      <x:c r="F432" s="10" t="n">
        <x:v>10000</x:v>
      </x:c>
      <x:c r="G432" s="8" t="n">
        <x:f>INDEX('Órdenes'!$B$7:$B$334,MATCH(A432,'Órdenes'!$A$7:$A$334,0))</x:f>
        <x:v>46143</x:v>
      </x:c>
      <x:c r="H432" s="11" t="n">
        <x:f>DATE(YEAR(G432),MONTH(G432),1)</x:f>
        <x:v>46143</x:v>
      </x:c>
    </x:row>
    <x:row r="433" ht="23" customHeight="1">
      <x:c r="A433" s="2" t="str">
        <x:v>SIM-202605-003</x:v>
      </x:c>
      <x:c r="B433" s="2" t="str">
        <x:v>Hamburguesa Clásica</x:v>
      </x:c>
      <x:c r="C433" s="2" t="str"/>
      <x:c r="D433" s="2" t="n">
        <x:v>2</x:v>
      </x:c>
      <x:c r="E433" s="10" t="n">
        <x:v>15000</x:v>
      </x:c>
      <x:c r="F433" s="10" t="n">
        <x:v>30000</x:v>
      </x:c>
      <x:c r="G433" s="8" t="n">
        <x:f>INDEX('Órdenes'!$B$7:$B$334,MATCH(A433,'Órdenes'!$A$7:$A$334,0))</x:f>
        <x:v>46143</x:v>
      </x:c>
      <x:c r="H433" s="11" t="n">
        <x:f>DATE(YEAR(G433),MONTH(G433),1)</x:f>
        <x:v>46143</x:v>
      </x:c>
    </x:row>
    <x:row r="434" ht="23" customHeight="1">
      <x:c r="A434" s="2" t="str">
        <x:v>SIM-202605-003</x:v>
      </x:c>
      <x:c r="B434" s="2" t="str">
        <x:v>Hamburguesa especial</x:v>
      </x:c>
      <x:c r="C434" s="2" t="str"/>
      <x:c r="D434" s="2" t="n">
        <x:v>1</x:v>
      </x:c>
      <x:c r="E434" s="10" t="n">
        <x:v>20000</x:v>
      </x:c>
      <x:c r="F434" s="10" t="n">
        <x:v>20000</x:v>
      </x:c>
      <x:c r="G434" s="8" t="n">
        <x:f>INDEX('Órdenes'!$B$7:$B$334,MATCH(A434,'Órdenes'!$A$7:$A$334,0))</x:f>
        <x:v>46143</x:v>
      </x:c>
      <x:c r="H434" s="11" t="n">
        <x:f>DATE(YEAR(G434),MONTH(G434),1)</x:f>
        <x:v>46143</x:v>
      </x:c>
    </x:row>
    <x:row r="435" ht="23" customHeight="1">
      <x:c r="A435" s="2" t="str">
        <x:v>SIM-202605-003</x:v>
      </x:c>
      <x:c r="B435" s="2" t="str">
        <x:v>Perro caliente</x:v>
      </x:c>
      <x:c r="C435" s="2" t="str"/>
      <x:c r="D435" s="2" t="n">
        <x:v>1</x:v>
      </x:c>
      <x:c r="E435" s="10" t="n">
        <x:v>13000</x:v>
      </x:c>
      <x:c r="F435" s="10" t="n">
        <x:v>13000</x:v>
      </x:c>
      <x:c r="G435" s="8" t="n">
        <x:f>INDEX('Órdenes'!$B$7:$B$334,MATCH(A435,'Órdenes'!$A$7:$A$334,0))</x:f>
        <x:v>46143</x:v>
      </x:c>
      <x:c r="H435" s="11" t="n">
        <x:f>DATE(YEAR(G435),MONTH(G435),1)</x:f>
        <x:v>46143</x:v>
      </x:c>
    </x:row>
    <x:row r="436" ht="23" customHeight="1">
      <x:c r="A436" s="2" t="str">
        <x:v>SIM-202605-003</x:v>
      </x:c>
      <x:c r="B436" s="2" t="str">
        <x:v>Gaseosas</x:v>
      </x:c>
      <x:c r="C436" s="2" t="str">
        <x:v>Coca-Cola</x:v>
      </x:c>
      <x:c r="D436" s="2" t="n">
        <x:v>3</x:v>
      </x:c>
      <x:c r="E436" s="10" t="n">
        <x:v>5000</x:v>
      </x:c>
      <x:c r="F436" s="10" t="n">
        <x:v>15000</x:v>
      </x:c>
      <x:c r="G436" s="8" t="n">
        <x:f>INDEX('Órdenes'!$B$7:$B$334,MATCH(A436,'Órdenes'!$A$7:$A$334,0))</x:f>
        <x:v>46143</x:v>
      </x:c>
      <x:c r="H436" s="11" t="n">
        <x:f>DATE(YEAR(G436),MONTH(G436),1)</x:f>
        <x:v>46143</x:v>
      </x:c>
    </x:row>
    <x:row r="437" ht="23" customHeight="1">
      <x:c r="A437" s="2" t="str">
        <x:v>SIM-202605-004</x:v>
      </x:c>
      <x:c r="B437" s="2" t="str">
        <x:v>Hamburguesa Clásica</x:v>
      </x:c>
      <x:c r="C437" s="2" t="str"/>
      <x:c r="D437" s="2" t="n">
        <x:v>1</x:v>
      </x:c>
      <x:c r="E437" s="10" t="n">
        <x:v>15000</x:v>
      </x:c>
      <x:c r="F437" s="10" t="n">
        <x:v>15000</x:v>
      </x:c>
      <x:c r="G437" s="8" t="n">
        <x:f>INDEX('Órdenes'!$B$7:$B$334,MATCH(A437,'Órdenes'!$A$7:$A$334,0))</x:f>
        <x:v>46144</x:v>
      </x:c>
      <x:c r="H437" s="11" t="n">
        <x:f>DATE(YEAR(G437),MONTH(G437),1)</x:f>
        <x:v>46143</x:v>
      </x:c>
    </x:row>
    <x:row r="438" ht="23" customHeight="1">
      <x:c r="A438" s="2" t="str">
        <x:v>SIM-202605-004</x:v>
      </x:c>
      <x:c r="B438" s="2" t="str">
        <x:v>Perro caliente</x:v>
      </x:c>
      <x:c r="C438" s="2" t="str"/>
      <x:c r="D438" s="2" t="n">
        <x:v>1</x:v>
      </x:c>
      <x:c r="E438" s="10" t="n">
        <x:v>13000</x:v>
      </x:c>
      <x:c r="F438" s="10" t="n">
        <x:v>13000</x:v>
      </x:c>
      <x:c r="G438" s="8" t="n">
        <x:f>INDEX('Órdenes'!$B$7:$B$334,MATCH(A438,'Órdenes'!$A$7:$A$334,0))</x:f>
        <x:v>46144</x:v>
      </x:c>
      <x:c r="H438" s="11" t="n">
        <x:f>DATE(YEAR(G438),MONTH(G438),1)</x:f>
        <x:v>46143</x:v>
      </x:c>
    </x:row>
    <x:row r="439" ht="23" customHeight="1">
      <x:c r="A439" s="2" t="str">
        <x:v>SIM-202605-005</x:v>
      </x:c>
      <x:c r="B439" s="2" t="str">
        <x:v>Hamburguesa Clásica</x:v>
      </x:c>
      <x:c r="C439" s="2" t="str"/>
      <x:c r="D439" s="2" t="n">
        <x:v>2</x:v>
      </x:c>
      <x:c r="E439" s="10" t="n">
        <x:v>15000</x:v>
      </x:c>
      <x:c r="F439" s="10" t="n">
        <x:v>30000</x:v>
      </x:c>
      <x:c r="G439" s="8" t="n">
        <x:f>INDEX('Órdenes'!$B$7:$B$334,MATCH(A439,'Órdenes'!$A$7:$A$334,0))</x:f>
        <x:v>46144</x:v>
      </x:c>
      <x:c r="H439" s="11" t="n">
        <x:f>DATE(YEAR(G439),MONTH(G439),1)</x:f>
        <x:v>46143</x:v>
      </x:c>
    </x:row>
    <x:row r="440" ht="23" customHeight="1">
      <x:c r="A440" s="2" t="str">
        <x:v>SIM-202605-005</x:v>
      </x:c>
      <x:c r="B440" s="2" t="str">
        <x:v>Hamburguesa especial</x:v>
      </x:c>
      <x:c r="C440" s="2" t="str"/>
      <x:c r="D440" s="2" t="n">
        <x:v>1</x:v>
      </x:c>
      <x:c r="E440" s="10" t="n">
        <x:v>20000</x:v>
      </x:c>
      <x:c r="F440" s="10" t="n">
        <x:v>20000</x:v>
      </x:c>
      <x:c r="G440" s="8" t="n">
        <x:f>INDEX('Órdenes'!$B$7:$B$334,MATCH(A440,'Órdenes'!$A$7:$A$334,0))</x:f>
        <x:v>46144</x:v>
      </x:c>
      <x:c r="H440" s="11" t="n">
        <x:f>DATE(YEAR(G440),MONTH(G440),1)</x:f>
        <x:v>46143</x:v>
      </x:c>
    </x:row>
    <x:row r="441" ht="23" customHeight="1">
      <x:c r="A441" s="2" t="str">
        <x:v>SIM-202605-005</x:v>
      </x:c>
      <x:c r="B441" s="2" t="str">
        <x:v>Gaseosas</x:v>
      </x:c>
      <x:c r="C441" s="2" t="str">
        <x:v>Coca-Cola</x:v>
      </x:c>
      <x:c r="D441" s="2" t="n">
        <x:v>2</x:v>
      </x:c>
      <x:c r="E441" s="10" t="n">
        <x:v>5000</x:v>
      </x:c>
      <x:c r="F441" s="10" t="n">
        <x:v>10000</x:v>
      </x:c>
      <x:c r="G441" s="8" t="n">
        <x:f>INDEX('Órdenes'!$B$7:$B$334,MATCH(A441,'Órdenes'!$A$7:$A$334,0))</x:f>
        <x:v>46144</x:v>
      </x:c>
      <x:c r="H441" s="11" t="n">
        <x:f>DATE(YEAR(G441),MONTH(G441),1)</x:f>
        <x:v>46143</x:v>
      </x:c>
    </x:row>
    <x:row r="442" ht="23" customHeight="1">
      <x:c r="A442" s="2" t="str">
        <x:v>SIM-202605-005</x:v>
      </x:c>
      <x:c r="B442" s="2" t="str">
        <x:v>Gaseosas</x:v>
      </x:c>
      <x:c r="C442" s="2" t="str">
        <x:v>Sprite</x:v>
      </x:c>
      <x:c r="D442" s="2" t="n">
        <x:v>1</x:v>
      </x:c>
      <x:c r="E442" s="10" t="n">
        <x:v>5000</x:v>
      </x:c>
      <x:c r="F442" s="10" t="n">
        <x:v>5000</x:v>
      </x:c>
      <x:c r="G442" s="8" t="n">
        <x:f>INDEX('Órdenes'!$B$7:$B$334,MATCH(A442,'Órdenes'!$A$7:$A$334,0))</x:f>
        <x:v>46144</x:v>
      </x:c>
      <x:c r="H442" s="11" t="n">
        <x:f>DATE(YEAR(G442),MONTH(G442),1)</x:f>
        <x:v>46143</x:v>
      </x:c>
    </x:row>
    <x:row r="443" ht="23" customHeight="1">
      <x:c r="A443" s="2" t="str">
        <x:v>SIM-202605-006</x:v>
      </x:c>
      <x:c r="B443" s="2" t="str">
        <x:v>Hamburguesa Clásica</x:v>
      </x:c>
      <x:c r="C443" s="2" t="str"/>
      <x:c r="D443" s="2" t="n">
        <x:v>1</x:v>
      </x:c>
      <x:c r="E443" s="10" t="n">
        <x:v>15000</x:v>
      </x:c>
      <x:c r="F443" s="10" t="n">
        <x:v>15000</x:v>
      </x:c>
      <x:c r="G443" s="8" t="n">
        <x:f>INDEX('Órdenes'!$B$7:$B$334,MATCH(A443,'Órdenes'!$A$7:$A$334,0))</x:f>
        <x:v>46145</x:v>
      </x:c>
      <x:c r="H443" s="11" t="n">
        <x:f>DATE(YEAR(G443),MONTH(G443),1)</x:f>
        <x:v>46143</x:v>
      </x:c>
    </x:row>
    <x:row r="444" ht="23" customHeight="1">
      <x:c r="A444" s="2" t="str">
        <x:v>SIM-202605-006</x:v>
      </x:c>
      <x:c r="B444" s="2" t="str">
        <x:v>Gaseosas</x:v>
      </x:c>
      <x:c r="C444" s="2" t="str">
        <x:v>Sprite</x:v>
      </x:c>
      <x:c r="D444" s="2" t="n">
        <x:v>1</x:v>
      </x:c>
      <x:c r="E444" s="10" t="n">
        <x:v>5000</x:v>
      </x:c>
      <x:c r="F444" s="10" t="n">
        <x:v>5000</x:v>
      </x:c>
      <x:c r="G444" s="8" t="n">
        <x:f>INDEX('Órdenes'!$B$7:$B$334,MATCH(A444,'Órdenes'!$A$7:$A$334,0))</x:f>
        <x:v>46145</x:v>
      </x:c>
      <x:c r="H444" s="11" t="n">
        <x:f>DATE(YEAR(G444),MONTH(G444),1)</x:f>
        <x:v>46143</x:v>
      </x:c>
    </x:row>
    <x:row r="445" ht="23" customHeight="1">
      <x:c r="A445" s="2" t="str">
        <x:v>SIM-202605-007</x:v>
      </x:c>
      <x:c r="B445" s="2" t="str">
        <x:v>Hamburguesa especial</x:v>
      </x:c>
      <x:c r="C445" s="2" t="str"/>
      <x:c r="D445" s="2" t="n">
        <x:v>1</x:v>
      </x:c>
      <x:c r="E445" s="10" t="n">
        <x:v>20000</x:v>
      </x:c>
      <x:c r="F445" s="10" t="n">
        <x:v>20000</x:v>
      </x:c>
      <x:c r="G445" s="8" t="n">
        <x:f>INDEX('Órdenes'!$B$7:$B$334,MATCH(A445,'Órdenes'!$A$7:$A$334,0))</x:f>
        <x:v>46150</x:v>
      </x:c>
      <x:c r="H445" s="11" t="n">
        <x:f>DATE(YEAR(G445),MONTH(G445),1)</x:f>
        <x:v>46143</x:v>
      </x:c>
    </x:row>
    <x:row r="446" ht="23" customHeight="1">
      <x:c r="A446" s="2" t="str">
        <x:v>SIM-202605-007</x:v>
      </x:c>
      <x:c r="B446" s="2" t="str">
        <x:v>Perro caliente</x:v>
      </x:c>
      <x:c r="C446" s="2" t="str"/>
      <x:c r="D446" s="2" t="n">
        <x:v>1</x:v>
      </x:c>
      <x:c r="E446" s="10" t="n">
        <x:v>13000</x:v>
      </x:c>
      <x:c r="F446" s="10" t="n">
        <x:v>13000</x:v>
      </x:c>
      <x:c r="G446" s="8" t="n">
        <x:f>INDEX('Órdenes'!$B$7:$B$334,MATCH(A446,'Órdenes'!$A$7:$A$334,0))</x:f>
        <x:v>46150</x:v>
      </x:c>
      <x:c r="H446" s="11" t="n">
        <x:f>DATE(YEAR(G446),MONTH(G446),1)</x:f>
        <x:v>46143</x:v>
      </x:c>
    </x:row>
    <x:row r="447" ht="23" customHeight="1">
      <x:c r="A447" s="2" t="str">
        <x:v>SIM-202605-007</x:v>
      </x:c>
      <x:c r="B447" s="2" t="str">
        <x:v>Gaseosas</x:v>
      </x:c>
      <x:c r="C447" s="2" t="str">
        <x:v>Coca-Cola</x:v>
      </x:c>
      <x:c r="D447" s="2" t="n">
        <x:v>2</x:v>
      </x:c>
      <x:c r="E447" s="10" t="n">
        <x:v>5000</x:v>
      </x:c>
      <x:c r="F447" s="10" t="n">
        <x:v>10000</x:v>
      </x:c>
      <x:c r="G447" s="8" t="n">
        <x:f>INDEX('Órdenes'!$B$7:$B$334,MATCH(A447,'Órdenes'!$A$7:$A$334,0))</x:f>
        <x:v>46150</x:v>
      </x:c>
      <x:c r="H447" s="11" t="n">
        <x:f>DATE(YEAR(G447),MONTH(G447),1)</x:f>
        <x:v>46143</x:v>
      </x:c>
    </x:row>
    <x:row r="448" ht="23" customHeight="1">
      <x:c r="A448" s="2" t="str">
        <x:v>SIM-202605-008</x:v>
      </x:c>
      <x:c r="B448" s="2" t="str">
        <x:v>Perro caliente</x:v>
      </x:c>
      <x:c r="C448" s="2" t="str"/>
      <x:c r="D448" s="2" t="n">
        <x:v>1</x:v>
      </x:c>
      <x:c r="E448" s="10" t="n">
        <x:v>13000</x:v>
      </x:c>
      <x:c r="F448" s="10" t="n">
        <x:v>13000</x:v>
      </x:c>
      <x:c r="G448" s="8" t="n">
        <x:f>INDEX('Órdenes'!$B$7:$B$334,MATCH(A448,'Órdenes'!$A$7:$A$334,0))</x:f>
        <x:v>46150</x:v>
      </x:c>
      <x:c r="H448" s="11" t="n">
        <x:f>DATE(YEAR(G448),MONTH(G448),1)</x:f>
        <x:v>46143</x:v>
      </x:c>
    </x:row>
    <x:row r="449" ht="23" customHeight="1">
      <x:c r="A449" s="2" t="str">
        <x:v>SIM-202605-009</x:v>
      </x:c>
      <x:c r="B449" s="2" t="str">
        <x:v>Hamburguesa Clásica</x:v>
      </x:c>
      <x:c r="C449" s="2" t="str"/>
      <x:c r="D449" s="2" t="n">
        <x:v>2</x:v>
      </x:c>
      <x:c r="E449" s="10" t="n">
        <x:v>15000</x:v>
      </x:c>
      <x:c r="F449" s="10" t="n">
        <x:v>30000</x:v>
      </x:c>
      <x:c r="G449" s="8" t="n">
        <x:f>INDEX('Órdenes'!$B$7:$B$334,MATCH(A449,'Órdenes'!$A$7:$A$334,0))</x:f>
        <x:v>46151</x:v>
      </x:c>
      <x:c r="H449" s="11" t="n">
        <x:f>DATE(YEAR(G449),MONTH(G449),1)</x:f>
        <x:v>46143</x:v>
      </x:c>
    </x:row>
    <x:row r="450" ht="23" customHeight="1">
      <x:c r="A450" s="2" t="str">
        <x:v>SIM-202605-009</x:v>
      </x:c>
      <x:c r="B450" s="2" t="str">
        <x:v>Salchipapas</x:v>
      </x:c>
      <x:c r="C450" s="2" t="str"/>
      <x:c r="D450" s="2" t="n">
        <x:v>1</x:v>
      </x:c>
      <x:c r="E450" s="10" t="n">
        <x:v>12000</x:v>
      </x:c>
      <x:c r="F450" s="10" t="n">
        <x:v>12000</x:v>
      </x:c>
      <x:c r="G450" s="8" t="n">
        <x:f>INDEX('Órdenes'!$B$7:$B$334,MATCH(A450,'Órdenes'!$A$7:$A$334,0))</x:f>
        <x:v>46151</x:v>
      </x:c>
      <x:c r="H450" s="11" t="n">
        <x:f>DATE(YEAR(G450),MONTH(G450),1)</x:f>
        <x:v>46143</x:v>
      </x:c>
    </x:row>
    <x:row r="451" ht="23" customHeight="1">
      <x:c r="A451" s="2" t="str">
        <x:v>SIM-202605-010</x:v>
      </x:c>
      <x:c r="B451" s="2" t="str">
        <x:v>Hamburguesa especial</x:v>
      </x:c>
      <x:c r="C451" s="2" t="str"/>
      <x:c r="D451" s="2" t="n">
        <x:v>1</x:v>
      </x:c>
      <x:c r="E451" s="10" t="n">
        <x:v>20000</x:v>
      </x:c>
      <x:c r="F451" s="10" t="n">
        <x:v>20000</x:v>
      </x:c>
      <x:c r="G451" s="8" t="n">
        <x:f>INDEX('Órdenes'!$B$7:$B$334,MATCH(A451,'Órdenes'!$A$7:$A$334,0))</x:f>
        <x:v>46151</x:v>
      </x:c>
      <x:c r="H451" s="11" t="n">
        <x:f>DATE(YEAR(G451),MONTH(G451),1)</x:f>
        <x:v>46143</x:v>
      </x:c>
    </x:row>
    <x:row r="452" ht="23" customHeight="1">
      <x:c r="A452" s="2" t="str">
        <x:v>SIM-202605-010</x:v>
      </x:c>
      <x:c r="B452" s="2" t="str">
        <x:v>Salchipapas</x:v>
      </x:c>
      <x:c r="C452" s="2" t="str"/>
      <x:c r="D452" s="2" t="n">
        <x:v>1</x:v>
      </x:c>
      <x:c r="E452" s="10" t="n">
        <x:v>12000</x:v>
      </x:c>
      <x:c r="F452" s="10" t="n">
        <x:v>12000</x:v>
      </x:c>
      <x:c r="G452" s="8" t="n">
        <x:f>INDEX('Órdenes'!$B$7:$B$334,MATCH(A452,'Órdenes'!$A$7:$A$334,0))</x:f>
        <x:v>46151</x:v>
      </x:c>
      <x:c r="H452" s="11" t="n">
        <x:f>DATE(YEAR(G452),MONTH(G452),1)</x:f>
        <x:v>46143</x:v>
      </x:c>
    </x:row>
    <x:row r="453" ht="23" customHeight="1">
      <x:c r="A453" s="2" t="str">
        <x:v>SIM-202605-010</x:v>
      </x:c>
      <x:c r="B453" s="2" t="str">
        <x:v>Gaseosas</x:v>
      </x:c>
      <x:c r="C453" s="2" t="str">
        <x:v>Coca-Cola</x:v>
      </x:c>
      <x:c r="D453" s="2" t="n">
        <x:v>1</x:v>
      </x:c>
      <x:c r="E453" s="10" t="n">
        <x:v>5000</x:v>
      </x:c>
      <x:c r="F453" s="10" t="n">
        <x:v>5000</x:v>
      </x:c>
      <x:c r="G453" s="8" t="n">
        <x:f>INDEX('Órdenes'!$B$7:$B$334,MATCH(A453,'Órdenes'!$A$7:$A$334,0))</x:f>
        <x:v>46151</x:v>
      </x:c>
      <x:c r="H453" s="11" t="n">
        <x:f>DATE(YEAR(G453),MONTH(G453),1)</x:f>
        <x:v>46143</x:v>
      </x:c>
    </x:row>
    <x:row r="454" ht="23" customHeight="1">
      <x:c r="A454" s="2" t="str">
        <x:v>SIM-202605-010</x:v>
      </x:c>
      <x:c r="B454" s="2" t="str">
        <x:v>Gaseosas</x:v>
      </x:c>
      <x:c r="C454" s="2" t="str">
        <x:v>Manzana</x:v>
      </x:c>
      <x:c r="D454" s="2" t="n">
        <x:v>1</x:v>
      </x:c>
      <x:c r="E454" s="10" t="n">
        <x:v>5000</x:v>
      </x:c>
      <x:c r="F454" s="10" t="n">
        <x:v>5000</x:v>
      </x:c>
      <x:c r="G454" s="8" t="n">
        <x:f>INDEX('Órdenes'!$B$7:$B$334,MATCH(A454,'Órdenes'!$A$7:$A$334,0))</x:f>
        <x:v>46151</x:v>
      </x:c>
      <x:c r="H454" s="11" t="n">
        <x:f>DATE(YEAR(G454),MONTH(G454),1)</x:f>
        <x:v>46143</x:v>
      </x:c>
    </x:row>
    <x:row r="455" ht="23" customHeight="1">
      <x:c r="A455" s="2" t="str">
        <x:v>SIM-202605-011</x:v>
      </x:c>
      <x:c r="B455" s="2" t="str">
        <x:v>Hamburguesa Clásica</x:v>
      </x:c>
      <x:c r="C455" s="2" t="str"/>
      <x:c r="D455" s="2" t="n">
        <x:v>1</x:v>
      </x:c>
      <x:c r="E455" s="10" t="n">
        <x:v>15000</x:v>
      </x:c>
      <x:c r="F455" s="10" t="n">
        <x:v>15000</x:v>
      </x:c>
      <x:c r="G455" s="8" t="n">
        <x:f>INDEX('Órdenes'!$B$7:$B$334,MATCH(A455,'Órdenes'!$A$7:$A$334,0))</x:f>
        <x:v>46151</x:v>
      </x:c>
      <x:c r="H455" s="11" t="n">
        <x:f>DATE(YEAR(G455),MONTH(G455),1)</x:f>
        <x:v>46143</x:v>
      </x:c>
    </x:row>
    <x:row r="456" ht="23" customHeight="1">
      <x:c r="A456" s="2" t="str">
        <x:v>SIM-202605-011</x:v>
      </x:c>
      <x:c r="B456" s="2" t="str">
        <x:v>Perro caliente</x:v>
      </x:c>
      <x:c r="C456" s="2" t="str"/>
      <x:c r="D456" s="2" t="n">
        <x:v>1</x:v>
      </x:c>
      <x:c r="E456" s="10" t="n">
        <x:v>13000</x:v>
      </x:c>
      <x:c r="F456" s="10" t="n">
        <x:v>13000</x:v>
      </x:c>
      <x:c r="G456" s="8" t="n">
        <x:f>INDEX('Órdenes'!$B$7:$B$334,MATCH(A456,'Órdenes'!$A$7:$A$334,0))</x:f>
        <x:v>46151</x:v>
      </x:c>
      <x:c r="H456" s="11" t="n">
        <x:f>DATE(YEAR(G456),MONTH(G456),1)</x:f>
        <x:v>46143</x:v>
      </x:c>
    </x:row>
    <x:row r="457" ht="23" customHeight="1">
      <x:c r="A457" s="2" t="str">
        <x:v>SIM-202605-011</x:v>
      </x:c>
      <x:c r="B457" s="2" t="str">
        <x:v>Gaseosas</x:v>
      </x:c>
      <x:c r="C457" s="2" t="str">
        <x:v>Manzana</x:v>
      </x:c>
      <x:c r="D457" s="2" t="n">
        <x:v>1</x:v>
      </x:c>
      <x:c r="E457" s="10" t="n">
        <x:v>5000</x:v>
      </x:c>
      <x:c r="F457" s="10" t="n">
        <x:v>5000</x:v>
      </x:c>
      <x:c r="G457" s="8" t="n">
        <x:f>INDEX('Órdenes'!$B$7:$B$334,MATCH(A457,'Órdenes'!$A$7:$A$334,0))</x:f>
        <x:v>46151</x:v>
      </x:c>
      <x:c r="H457" s="11" t="n">
        <x:f>DATE(YEAR(G457),MONTH(G457),1)</x:f>
        <x:v>46143</x:v>
      </x:c>
    </x:row>
    <x:row r="458" ht="23" customHeight="1">
      <x:c r="A458" s="2" t="str">
        <x:v>SIM-202605-012</x:v>
      </x:c>
      <x:c r="B458" s="2" t="str">
        <x:v>Hamburguesa especial</x:v>
      </x:c>
      <x:c r="C458" s="2" t="str"/>
      <x:c r="D458" s="2" t="n">
        <x:v>1</x:v>
      </x:c>
      <x:c r="E458" s="10" t="n">
        <x:v>20000</x:v>
      </x:c>
      <x:c r="F458" s="10" t="n">
        <x:v>20000</x:v>
      </x:c>
      <x:c r="G458" s="8" t="n">
        <x:f>INDEX('Órdenes'!$B$7:$B$334,MATCH(A458,'Órdenes'!$A$7:$A$334,0))</x:f>
        <x:v>46151</x:v>
      </x:c>
      <x:c r="H458" s="11" t="n">
        <x:f>DATE(YEAR(G458),MONTH(G458),1)</x:f>
        <x:v>46143</x:v>
      </x:c>
    </x:row>
    <x:row r="459" ht="23" customHeight="1">
      <x:c r="A459" s="2" t="str">
        <x:v>SIM-202605-012</x:v>
      </x:c>
      <x:c r="B459" s="2" t="str">
        <x:v>Perro caliente</x:v>
      </x:c>
      <x:c r="C459" s="2" t="str"/>
      <x:c r="D459" s="2" t="n">
        <x:v>1</x:v>
      </x:c>
      <x:c r="E459" s="10" t="n">
        <x:v>13000</x:v>
      </x:c>
      <x:c r="F459" s="10" t="n">
        <x:v>13000</x:v>
      </x:c>
      <x:c r="G459" s="8" t="n">
        <x:f>INDEX('Órdenes'!$B$7:$B$334,MATCH(A459,'Órdenes'!$A$7:$A$334,0))</x:f>
        <x:v>46151</x:v>
      </x:c>
      <x:c r="H459" s="11" t="n">
        <x:f>DATE(YEAR(G459),MONTH(G459),1)</x:f>
        <x:v>46143</x:v>
      </x:c>
    </x:row>
    <x:row r="460" ht="23" customHeight="1">
      <x:c r="A460" s="2" t="str">
        <x:v>SIM-202605-013</x:v>
      </x:c>
      <x:c r="B460" s="2" t="str">
        <x:v>Hamburguesa Clásica</x:v>
      </x:c>
      <x:c r="C460" s="2" t="str"/>
      <x:c r="D460" s="2" t="n">
        <x:v>1</x:v>
      </x:c>
      <x:c r="E460" s="10" t="n">
        <x:v>15000</x:v>
      </x:c>
      <x:c r="F460" s="10" t="n">
        <x:v>15000</x:v>
      </x:c>
      <x:c r="G460" s="8" t="n">
        <x:f>INDEX('Órdenes'!$B$7:$B$334,MATCH(A460,'Órdenes'!$A$7:$A$334,0))</x:f>
        <x:v>46152</x:v>
      </x:c>
      <x:c r="H460" s="11" t="n">
        <x:f>DATE(YEAR(G460),MONTH(G460),1)</x:f>
        <x:v>46143</x:v>
      </x:c>
    </x:row>
    <x:row r="461" ht="23" customHeight="1">
      <x:c r="A461" s="2" t="str">
        <x:v>SIM-202605-013</x:v>
      </x:c>
      <x:c r="B461" s="2" t="str">
        <x:v>Perro caliente</x:v>
      </x:c>
      <x:c r="C461" s="2" t="str"/>
      <x:c r="D461" s="2" t="n">
        <x:v>2</x:v>
      </x:c>
      <x:c r="E461" s="10" t="n">
        <x:v>13000</x:v>
      </x:c>
      <x:c r="F461" s="10" t="n">
        <x:v>26000</x:v>
      </x:c>
      <x:c r="G461" s="8" t="n">
        <x:f>INDEX('Órdenes'!$B$7:$B$334,MATCH(A461,'Órdenes'!$A$7:$A$334,0))</x:f>
        <x:v>46152</x:v>
      </x:c>
      <x:c r="H461" s="11" t="n">
        <x:f>DATE(YEAR(G461),MONTH(G461),1)</x:f>
        <x:v>46143</x:v>
      </x:c>
    </x:row>
    <x:row r="462" ht="23" customHeight="1">
      <x:c r="A462" s="2" t="str">
        <x:v>SIM-202605-013</x:v>
      </x:c>
      <x:c r="B462" s="2" t="str">
        <x:v>Salchipapas</x:v>
      </x:c>
      <x:c r="C462" s="2" t="str"/>
      <x:c r="D462" s="2" t="n">
        <x:v>2</x:v>
      </x:c>
      <x:c r="E462" s="10" t="n">
        <x:v>12000</x:v>
      </x:c>
      <x:c r="F462" s="10" t="n">
        <x:v>24000</x:v>
      </x:c>
      <x:c r="G462" s="8" t="n">
        <x:f>INDEX('Órdenes'!$B$7:$B$334,MATCH(A462,'Órdenes'!$A$7:$A$334,0))</x:f>
        <x:v>46152</x:v>
      </x:c>
      <x:c r="H462" s="11" t="n">
        <x:f>DATE(YEAR(G462),MONTH(G462),1)</x:f>
        <x:v>46143</x:v>
      </x:c>
    </x:row>
    <x:row r="463" ht="23" customHeight="1">
      <x:c r="A463" s="2" t="str">
        <x:v>SIM-202605-013</x:v>
      </x:c>
      <x:c r="B463" s="2" t="str">
        <x:v>Gaseosas</x:v>
      </x:c>
      <x:c r="C463" s="2" t="str">
        <x:v>Coca-Cola</x:v>
      </x:c>
      <x:c r="D463" s="2" t="n">
        <x:v>2</x:v>
      </x:c>
      <x:c r="E463" s="10" t="n">
        <x:v>5000</x:v>
      </x:c>
      <x:c r="F463" s="10" t="n">
        <x:v>10000</x:v>
      </x:c>
      <x:c r="G463" s="8" t="n">
        <x:f>INDEX('Órdenes'!$B$7:$B$334,MATCH(A463,'Órdenes'!$A$7:$A$334,0))</x:f>
        <x:v>46152</x:v>
      </x:c>
      <x:c r="H463" s="11" t="n">
        <x:f>DATE(YEAR(G463),MONTH(G463),1)</x:f>
        <x:v>46143</x:v>
      </x:c>
    </x:row>
    <x:row r="464" ht="23" customHeight="1">
      <x:c r="A464" s="2" t="str">
        <x:v>SIM-202605-014</x:v>
      </x:c>
      <x:c r="B464" s="2" t="str">
        <x:v>Hamburguesa Clásica</x:v>
      </x:c>
      <x:c r="C464" s="2" t="str"/>
      <x:c r="D464" s="2" t="n">
        <x:v>1</x:v>
      </x:c>
      <x:c r="E464" s="10" t="n">
        <x:v>15000</x:v>
      </x:c>
      <x:c r="F464" s="10" t="n">
        <x:v>15000</x:v>
      </x:c>
      <x:c r="G464" s="8" t="n">
        <x:f>INDEX('Órdenes'!$B$7:$B$334,MATCH(A464,'Órdenes'!$A$7:$A$334,0))</x:f>
        <x:v>46152</x:v>
      </x:c>
      <x:c r="H464" s="11" t="n">
        <x:f>DATE(YEAR(G464),MONTH(G464),1)</x:f>
        <x:v>46143</x:v>
      </x:c>
    </x:row>
    <x:row r="465" ht="23" customHeight="1">
      <x:c r="A465" s="2" t="str">
        <x:v>SIM-202605-015</x:v>
      </x:c>
      <x:c r="B465" s="2" t="str">
        <x:v>Hamburguesa Clásica</x:v>
      </x:c>
      <x:c r="C465" s="2" t="str"/>
      <x:c r="D465" s="2" t="n">
        <x:v>2</x:v>
      </x:c>
      <x:c r="E465" s="10" t="n">
        <x:v>15000</x:v>
      </x:c>
      <x:c r="F465" s="10" t="n">
        <x:v>30000</x:v>
      </x:c>
      <x:c r="G465" s="8" t="n">
        <x:f>INDEX('Órdenes'!$B$7:$B$334,MATCH(A465,'Órdenes'!$A$7:$A$334,0))</x:f>
        <x:v>46152</x:v>
      </x:c>
      <x:c r="H465" s="11" t="n">
        <x:f>DATE(YEAR(G465),MONTH(G465),1)</x:f>
        <x:v>46143</x:v>
      </x:c>
    </x:row>
    <x:row r="466" ht="23" customHeight="1">
      <x:c r="A466" s="2" t="str">
        <x:v>SIM-202605-015</x:v>
      </x:c>
      <x:c r="B466" s="2" t="str">
        <x:v>Gaseosas</x:v>
      </x:c>
      <x:c r="C466" s="2" t="str">
        <x:v>Coca-Cola</x:v>
      </x:c>
      <x:c r="D466" s="2" t="n">
        <x:v>1</x:v>
      </x:c>
      <x:c r="E466" s="10" t="n">
        <x:v>5000</x:v>
      </x:c>
      <x:c r="F466" s="10" t="n">
        <x:v>5000</x:v>
      </x:c>
      <x:c r="G466" s="8" t="n">
        <x:f>INDEX('Órdenes'!$B$7:$B$334,MATCH(A466,'Órdenes'!$A$7:$A$334,0))</x:f>
        <x:v>46152</x:v>
      </x:c>
      <x:c r="H466" s="11" t="n">
        <x:f>DATE(YEAR(G466),MONTH(G466),1)</x:f>
        <x:v>46143</x:v>
      </x:c>
    </x:row>
    <x:row r="467" ht="23" customHeight="1">
      <x:c r="A467" s="2" t="str">
        <x:v>SIM-202605-016</x:v>
      </x:c>
      <x:c r="B467" s="2" t="str">
        <x:v>Hamburguesa Clásica</x:v>
      </x:c>
      <x:c r="C467" s="2" t="str"/>
      <x:c r="D467" s="2" t="n">
        <x:v>1</x:v>
      </x:c>
      <x:c r="E467" s="10" t="n">
        <x:v>15000</x:v>
      </x:c>
      <x:c r="F467" s="10" t="n">
        <x:v>15000</x:v>
      </x:c>
      <x:c r="G467" s="8" t="n">
        <x:f>INDEX('Órdenes'!$B$7:$B$334,MATCH(A467,'Órdenes'!$A$7:$A$334,0))</x:f>
        <x:v>46156</x:v>
      </x:c>
      <x:c r="H467" s="11" t="n">
        <x:f>DATE(YEAR(G467),MONTH(G467),1)</x:f>
        <x:v>46143</x:v>
      </x:c>
    </x:row>
    <x:row r="468" ht="23" customHeight="1">
      <x:c r="A468" s="2" t="str">
        <x:v>SIM-202605-016</x:v>
      </x:c>
      <x:c r="B468" s="2" t="str">
        <x:v>Gaseosas</x:v>
      </x:c>
      <x:c r="C468" s="2" t="str">
        <x:v>Sprite</x:v>
      </x:c>
      <x:c r="D468" s="2" t="n">
        <x:v>1</x:v>
      </x:c>
      <x:c r="E468" s="10" t="n">
        <x:v>5000</x:v>
      </x:c>
      <x:c r="F468" s="10" t="n">
        <x:v>5000</x:v>
      </x:c>
      <x:c r="G468" s="8" t="n">
        <x:f>INDEX('Órdenes'!$B$7:$B$334,MATCH(A468,'Órdenes'!$A$7:$A$334,0))</x:f>
        <x:v>46156</x:v>
      </x:c>
      <x:c r="H468" s="11" t="n">
        <x:f>DATE(YEAR(G468),MONTH(G468),1)</x:f>
        <x:v>46143</x:v>
      </x:c>
    </x:row>
    <x:row r="469" ht="23" customHeight="1">
      <x:c r="A469" s="2" t="str">
        <x:v>SIM-202605-017</x:v>
      </x:c>
      <x:c r="B469" s="2" t="str">
        <x:v>Hamburguesa Clásica</x:v>
      </x:c>
      <x:c r="C469" s="2" t="str"/>
      <x:c r="D469" s="2" t="n">
        <x:v>1</x:v>
      </x:c>
      <x:c r="E469" s="10" t="n">
        <x:v>15000</x:v>
      </x:c>
      <x:c r="F469" s="10" t="n">
        <x:v>15000</x:v>
      </x:c>
      <x:c r="G469" s="8" t="n">
        <x:f>INDEX('Órdenes'!$B$7:$B$334,MATCH(A469,'Órdenes'!$A$7:$A$334,0))</x:f>
        <x:v>46156</x:v>
      </x:c>
      <x:c r="H469" s="11" t="n">
        <x:f>DATE(YEAR(G469),MONTH(G469),1)</x:f>
        <x:v>46143</x:v>
      </x:c>
    </x:row>
    <x:row r="470" ht="23" customHeight="1">
      <x:c r="A470" s="2" t="str">
        <x:v>SIM-202605-017</x:v>
      </x:c>
      <x:c r="B470" s="2" t="str">
        <x:v>Gaseosas</x:v>
      </x:c>
      <x:c r="C470" s="2" t="str">
        <x:v>Sprite</x:v>
      </x:c>
      <x:c r="D470" s="2" t="n">
        <x:v>1</x:v>
      </x:c>
      <x:c r="E470" s="10" t="n">
        <x:v>5000</x:v>
      </x:c>
      <x:c r="F470" s="10" t="n">
        <x:v>5000</x:v>
      </x:c>
      <x:c r="G470" s="8" t="n">
        <x:f>INDEX('Órdenes'!$B$7:$B$334,MATCH(A470,'Órdenes'!$A$7:$A$334,0))</x:f>
        <x:v>46156</x:v>
      </x:c>
      <x:c r="H470" s="11" t="n">
        <x:f>DATE(YEAR(G470),MONTH(G470),1)</x:f>
        <x:v>46143</x:v>
      </x:c>
    </x:row>
    <x:row r="471" ht="23" customHeight="1">
      <x:c r="A471" s="2" t="str">
        <x:v>SIM-202605-018</x:v>
      </x:c>
      <x:c r="B471" s="2" t="str">
        <x:v>Hamburguesa Clásica</x:v>
      </x:c>
      <x:c r="C471" s="2" t="str"/>
      <x:c r="D471" s="2" t="n">
        <x:v>1</x:v>
      </x:c>
      <x:c r="E471" s="10" t="n">
        <x:v>15000</x:v>
      </x:c>
      <x:c r="F471" s="10" t="n">
        <x:v>15000</x:v>
      </x:c>
      <x:c r="G471" s="8" t="n">
        <x:f>INDEX('Órdenes'!$B$7:$B$334,MATCH(A471,'Órdenes'!$A$7:$A$334,0))</x:f>
        <x:v>46157</x:v>
      </x:c>
      <x:c r="H471" s="11" t="n">
        <x:f>DATE(YEAR(G471),MONTH(G471),1)</x:f>
        <x:v>46143</x:v>
      </x:c>
    </x:row>
    <x:row r="472" ht="23" customHeight="1">
      <x:c r="A472" s="2" t="str">
        <x:v>SIM-202605-018</x:v>
      </x:c>
      <x:c r="B472" s="2" t="str">
        <x:v>Hamburguesa especial</x:v>
      </x:c>
      <x:c r="C472" s="2" t="str"/>
      <x:c r="D472" s="2" t="n">
        <x:v>1</x:v>
      </x:c>
      <x:c r="E472" s="10" t="n">
        <x:v>20000</x:v>
      </x:c>
      <x:c r="F472" s="10" t="n">
        <x:v>20000</x:v>
      </x:c>
      <x:c r="G472" s="8" t="n">
        <x:f>INDEX('Órdenes'!$B$7:$B$334,MATCH(A472,'Órdenes'!$A$7:$A$334,0))</x:f>
        <x:v>46157</x:v>
      </x:c>
      <x:c r="H472" s="11" t="n">
        <x:f>DATE(YEAR(G472),MONTH(G472),1)</x:f>
        <x:v>46143</x:v>
      </x:c>
    </x:row>
    <x:row r="473" ht="23" customHeight="1">
      <x:c r="A473" s="2" t="str">
        <x:v>SIM-202605-018</x:v>
      </x:c>
      <x:c r="B473" s="2" t="str">
        <x:v>Salchipapas</x:v>
      </x:c>
      <x:c r="C473" s="2" t="str"/>
      <x:c r="D473" s="2" t="n">
        <x:v>1</x:v>
      </x:c>
      <x:c r="E473" s="10" t="n">
        <x:v>12000</x:v>
      </x:c>
      <x:c r="F473" s="10" t="n">
        <x:v>12000</x:v>
      </x:c>
      <x:c r="G473" s="8" t="n">
        <x:f>INDEX('Órdenes'!$B$7:$B$334,MATCH(A473,'Órdenes'!$A$7:$A$334,0))</x:f>
        <x:v>46157</x:v>
      </x:c>
      <x:c r="H473" s="11" t="n">
        <x:f>DATE(YEAR(G473),MONTH(G473),1)</x:f>
        <x:v>46143</x:v>
      </x:c>
    </x:row>
    <x:row r="474" ht="23" customHeight="1">
      <x:c r="A474" s="2" t="str">
        <x:v>SIM-202605-018</x:v>
      </x:c>
      <x:c r="B474" s="2" t="str">
        <x:v>Gaseosas</x:v>
      </x:c>
      <x:c r="C474" s="2" t="str">
        <x:v>Manzana</x:v>
      </x:c>
      <x:c r="D474" s="2" t="n">
        <x:v>1</x:v>
      </x:c>
      <x:c r="E474" s="10" t="n">
        <x:v>5000</x:v>
      </x:c>
      <x:c r="F474" s="10" t="n">
        <x:v>5000</x:v>
      </x:c>
      <x:c r="G474" s="8" t="n">
        <x:f>INDEX('Órdenes'!$B$7:$B$334,MATCH(A474,'Órdenes'!$A$7:$A$334,0))</x:f>
        <x:v>46157</x:v>
      </x:c>
      <x:c r="H474" s="11" t="n">
        <x:f>DATE(YEAR(G474),MONTH(G474),1)</x:f>
        <x:v>46143</x:v>
      </x:c>
    </x:row>
    <x:row r="475" ht="23" customHeight="1">
      <x:c r="A475" s="2" t="str">
        <x:v>SIM-202605-019</x:v>
      </x:c>
      <x:c r="B475" s="2" t="str">
        <x:v>Hamburguesa especial</x:v>
      </x:c>
      <x:c r="C475" s="2" t="str"/>
      <x:c r="D475" s="2" t="n">
        <x:v>1</x:v>
      </x:c>
      <x:c r="E475" s="10" t="n">
        <x:v>20000</x:v>
      </x:c>
      <x:c r="F475" s="10" t="n">
        <x:v>20000</x:v>
      </x:c>
      <x:c r="G475" s="8" t="n">
        <x:f>INDEX('Órdenes'!$B$7:$B$334,MATCH(A475,'Órdenes'!$A$7:$A$334,0))</x:f>
        <x:v>46158</x:v>
      </x:c>
      <x:c r="H475" s="11" t="n">
        <x:f>DATE(YEAR(G475),MONTH(G475),1)</x:f>
        <x:v>46143</x:v>
      </x:c>
    </x:row>
    <x:row r="476" ht="23" customHeight="1">
      <x:c r="A476" s="2" t="str">
        <x:v>SIM-202605-019</x:v>
      </x:c>
      <x:c r="B476" s="2" t="str">
        <x:v>Gaseosas</x:v>
      </x:c>
      <x:c r="C476" s="2" t="str">
        <x:v>Coca-Cola</x:v>
      </x:c>
      <x:c r="D476" s="2" t="n">
        <x:v>1</x:v>
      </x:c>
      <x:c r="E476" s="10" t="n">
        <x:v>5000</x:v>
      </x:c>
      <x:c r="F476" s="10" t="n">
        <x:v>5000</x:v>
      </x:c>
      <x:c r="G476" s="8" t="n">
        <x:f>INDEX('Órdenes'!$B$7:$B$334,MATCH(A476,'Órdenes'!$A$7:$A$334,0))</x:f>
        <x:v>46158</x:v>
      </x:c>
      <x:c r="H476" s="11" t="n">
        <x:f>DATE(YEAR(G476),MONTH(G476),1)</x:f>
        <x:v>46143</x:v>
      </x:c>
    </x:row>
    <x:row r="477" ht="23" customHeight="1">
      <x:c r="A477" s="2" t="str">
        <x:v>SIM-202605-020</x:v>
      </x:c>
      <x:c r="B477" s="2" t="str">
        <x:v>Hamburguesa Clásica</x:v>
      </x:c>
      <x:c r="C477" s="2" t="str"/>
      <x:c r="D477" s="2" t="n">
        <x:v>1</x:v>
      </x:c>
      <x:c r="E477" s="10" t="n">
        <x:v>15000</x:v>
      </x:c>
      <x:c r="F477" s="10" t="n">
        <x:v>15000</x:v>
      </x:c>
      <x:c r="G477" s="8" t="n">
        <x:f>INDEX('Órdenes'!$B$7:$B$334,MATCH(A477,'Órdenes'!$A$7:$A$334,0))</x:f>
        <x:v>46158</x:v>
      </x:c>
      <x:c r="H477" s="11" t="n">
        <x:f>DATE(YEAR(G477),MONTH(G477),1)</x:f>
        <x:v>46143</x:v>
      </x:c>
    </x:row>
    <x:row r="478" ht="23" customHeight="1">
      <x:c r="A478" s="2" t="str">
        <x:v>SIM-202605-020</x:v>
      </x:c>
      <x:c r="B478" s="2" t="str">
        <x:v>Perro caliente</x:v>
      </x:c>
      <x:c r="C478" s="2" t="str"/>
      <x:c r="D478" s="2" t="n">
        <x:v>1</x:v>
      </x:c>
      <x:c r="E478" s="10" t="n">
        <x:v>13000</x:v>
      </x:c>
      <x:c r="F478" s="10" t="n">
        <x:v>13000</x:v>
      </x:c>
      <x:c r="G478" s="8" t="n">
        <x:f>INDEX('Órdenes'!$B$7:$B$334,MATCH(A478,'Órdenes'!$A$7:$A$334,0))</x:f>
        <x:v>46158</x:v>
      </x:c>
      <x:c r="H478" s="11" t="n">
        <x:f>DATE(YEAR(G478),MONTH(G478),1)</x:f>
        <x:v>46143</x:v>
      </x:c>
    </x:row>
    <x:row r="479" ht="23" customHeight="1">
      <x:c r="A479" s="2" t="str">
        <x:v>SIM-202605-020</x:v>
      </x:c>
      <x:c r="B479" s="2" t="str">
        <x:v>Gaseosas</x:v>
      </x:c>
      <x:c r="C479" s="2" t="str">
        <x:v>Coca-Cola</x:v>
      </x:c>
      <x:c r="D479" s="2" t="n">
        <x:v>1</x:v>
      </x:c>
      <x:c r="E479" s="10" t="n">
        <x:v>5000</x:v>
      </x:c>
      <x:c r="F479" s="10" t="n">
        <x:v>5000</x:v>
      </x:c>
      <x:c r="G479" s="8" t="n">
        <x:f>INDEX('Órdenes'!$B$7:$B$334,MATCH(A479,'Órdenes'!$A$7:$A$334,0))</x:f>
        <x:v>46158</x:v>
      </x:c>
      <x:c r="H479" s="11" t="n">
        <x:f>DATE(YEAR(G479),MONTH(G479),1)</x:f>
        <x:v>46143</x:v>
      </x:c>
    </x:row>
    <x:row r="480" ht="23" customHeight="1">
      <x:c r="A480" s="2" t="str">
        <x:v>SIM-202605-021</x:v>
      </x:c>
      <x:c r="B480" s="2" t="str">
        <x:v>Hamburguesa Clásica</x:v>
      </x:c>
      <x:c r="C480" s="2" t="str"/>
      <x:c r="D480" s="2" t="n">
        <x:v>2</x:v>
      </x:c>
      <x:c r="E480" s="10" t="n">
        <x:v>15000</x:v>
      </x:c>
      <x:c r="F480" s="10" t="n">
        <x:v>30000</x:v>
      </x:c>
      <x:c r="G480" s="8" t="n">
        <x:f>INDEX('Órdenes'!$B$7:$B$334,MATCH(A480,'Órdenes'!$A$7:$A$334,0))</x:f>
        <x:v>46159</x:v>
      </x:c>
      <x:c r="H480" s="11" t="n">
        <x:f>DATE(YEAR(G480),MONTH(G480),1)</x:f>
        <x:v>46143</x:v>
      </x:c>
    </x:row>
    <x:row r="481" ht="23" customHeight="1">
      <x:c r="A481" s="2" t="str">
        <x:v>SIM-202605-021</x:v>
      </x:c>
      <x:c r="B481" s="2" t="str">
        <x:v>Gaseosas</x:v>
      </x:c>
      <x:c r="C481" s="2" t="str">
        <x:v>Coca-Cola</x:v>
      </x:c>
      <x:c r="D481" s="2" t="n">
        <x:v>1</x:v>
      </x:c>
      <x:c r="E481" s="10" t="n">
        <x:v>5000</x:v>
      </x:c>
      <x:c r="F481" s="10" t="n">
        <x:v>5000</x:v>
      </x:c>
      <x:c r="G481" s="8" t="n">
        <x:f>INDEX('Órdenes'!$B$7:$B$334,MATCH(A481,'Órdenes'!$A$7:$A$334,0))</x:f>
        <x:v>46159</x:v>
      </x:c>
      <x:c r="H481" s="11" t="n">
        <x:f>DATE(YEAR(G481),MONTH(G481),1)</x:f>
        <x:v>46143</x:v>
      </x:c>
    </x:row>
    <x:row r="482" ht="23" customHeight="1">
      <x:c r="A482" s="2" t="str">
        <x:v>SIM-202605-022</x:v>
      </x:c>
      <x:c r="B482" s="2" t="str">
        <x:v>Hamburguesa Clásica</x:v>
      </x:c>
      <x:c r="C482" s="2" t="str"/>
      <x:c r="D482" s="2" t="n">
        <x:v>1</x:v>
      </x:c>
      <x:c r="E482" s="10" t="n">
        <x:v>15000</x:v>
      </x:c>
      <x:c r="F482" s="10" t="n">
        <x:v>15000</x:v>
      </x:c>
      <x:c r="G482" s="8" t="n">
        <x:f>INDEX('Órdenes'!$B$7:$B$334,MATCH(A482,'Órdenes'!$A$7:$A$334,0))</x:f>
        <x:v>46159</x:v>
      </x:c>
      <x:c r="H482" s="11" t="n">
        <x:f>DATE(YEAR(G482),MONTH(G482),1)</x:f>
        <x:v>46143</x:v>
      </x:c>
    </x:row>
    <x:row r="483" ht="23" customHeight="1">
      <x:c r="A483" s="2" t="str">
        <x:v>SIM-202605-022</x:v>
      </x:c>
      <x:c r="B483" s="2" t="str">
        <x:v>Hamburguesa especial</x:v>
      </x:c>
      <x:c r="C483" s="2" t="str"/>
      <x:c r="D483" s="2" t="n">
        <x:v>1</x:v>
      </x:c>
      <x:c r="E483" s="10" t="n">
        <x:v>20000</x:v>
      </x:c>
      <x:c r="F483" s="10" t="n">
        <x:v>20000</x:v>
      </x:c>
      <x:c r="G483" s="8" t="n">
        <x:f>INDEX('Órdenes'!$B$7:$B$334,MATCH(A483,'Órdenes'!$A$7:$A$334,0))</x:f>
        <x:v>46159</x:v>
      </x:c>
      <x:c r="H483" s="11" t="n">
        <x:f>DATE(YEAR(G483),MONTH(G483),1)</x:f>
        <x:v>46143</x:v>
      </x:c>
    </x:row>
    <x:row r="484" ht="23" customHeight="1">
      <x:c r="A484" s="2" t="str">
        <x:v>SIM-202605-022</x:v>
      </x:c>
      <x:c r="B484" s="2" t="str">
        <x:v>Gaseosas</x:v>
      </x:c>
      <x:c r="C484" s="2" t="str">
        <x:v>Coca-Cola</x:v>
      </x:c>
      <x:c r="D484" s="2" t="n">
        <x:v>1</x:v>
      </x:c>
      <x:c r="E484" s="10" t="n">
        <x:v>5000</x:v>
      </x:c>
      <x:c r="F484" s="10" t="n">
        <x:v>5000</x:v>
      </x:c>
      <x:c r="G484" s="8" t="n">
        <x:f>INDEX('Órdenes'!$B$7:$B$334,MATCH(A484,'Órdenes'!$A$7:$A$334,0))</x:f>
        <x:v>46159</x:v>
      </x:c>
      <x:c r="H484" s="11" t="n">
        <x:f>DATE(YEAR(G484),MONTH(G484),1)</x:f>
        <x:v>46143</x:v>
      </x:c>
    </x:row>
    <x:row r="485" ht="23" customHeight="1">
      <x:c r="A485" s="2" t="str">
        <x:v>SIM-202605-022</x:v>
      </x:c>
      <x:c r="B485" s="2" t="str">
        <x:v>Gaseosas</x:v>
      </x:c>
      <x:c r="C485" s="2" t="str">
        <x:v>Sprite</x:v>
      </x:c>
      <x:c r="D485" s="2" t="n">
        <x:v>1</x:v>
      </x:c>
      <x:c r="E485" s="10" t="n">
        <x:v>5000</x:v>
      </x:c>
      <x:c r="F485" s="10" t="n">
        <x:v>5000</x:v>
      </x:c>
      <x:c r="G485" s="8" t="n">
        <x:f>INDEX('Órdenes'!$B$7:$B$334,MATCH(A485,'Órdenes'!$A$7:$A$334,0))</x:f>
        <x:v>46159</x:v>
      </x:c>
      <x:c r="H485" s="11" t="n">
        <x:f>DATE(YEAR(G485),MONTH(G485),1)</x:f>
        <x:v>46143</x:v>
      </x:c>
    </x:row>
    <x:row r="486" ht="23" customHeight="1">
      <x:c r="A486" s="2" t="str">
        <x:v>SIM-202605-023</x:v>
      </x:c>
      <x:c r="B486" s="2" t="str">
        <x:v>Hamburguesa Clásica</x:v>
      </x:c>
      <x:c r="C486" s="2" t="str"/>
      <x:c r="D486" s="2" t="n">
        <x:v>1</x:v>
      </x:c>
      <x:c r="E486" s="10" t="n">
        <x:v>15000</x:v>
      </x:c>
      <x:c r="F486" s="10" t="n">
        <x:v>15000</x:v>
      </x:c>
      <x:c r="G486" s="8" t="n">
        <x:f>INDEX('Órdenes'!$B$7:$B$334,MATCH(A486,'Órdenes'!$A$7:$A$334,0))</x:f>
        <x:v>46163</x:v>
      </x:c>
      <x:c r="H486" s="11" t="n">
        <x:f>DATE(YEAR(G486),MONTH(G486),1)</x:f>
        <x:v>46143</x:v>
      </x:c>
    </x:row>
    <x:row r="487" ht="23" customHeight="1">
      <x:c r="A487" s="2" t="str">
        <x:v>SIM-202605-023</x:v>
      </x:c>
      <x:c r="B487" s="2" t="str">
        <x:v>Gaseosas</x:v>
      </x:c>
      <x:c r="C487" s="2" t="str">
        <x:v>Sprite</x:v>
      </x:c>
      <x:c r="D487" s="2" t="n">
        <x:v>1</x:v>
      </x:c>
      <x:c r="E487" s="10" t="n">
        <x:v>5000</x:v>
      </x:c>
      <x:c r="F487" s="10" t="n">
        <x:v>5000</x:v>
      </x:c>
      <x:c r="G487" s="8" t="n">
        <x:f>INDEX('Órdenes'!$B$7:$B$334,MATCH(A487,'Órdenes'!$A$7:$A$334,0))</x:f>
        <x:v>46163</x:v>
      </x:c>
      <x:c r="H487" s="11" t="n">
        <x:f>DATE(YEAR(G487),MONTH(G487),1)</x:f>
        <x:v>46143</x:v>
      </x:c>
    </x:row>
    <x:row r="488" ht="23" customHeight="1">
      <x:c r="A488" s="2" t="str">
        <x:v>SIM-202605-024</x:v>
      </x:c>
      <x:c r="B488" s="2" t="str">
        <x:v>Salchipapas</x:v>
      </x:c>
      <x:c r="C488" s="2" t="str"/>
      <x:c r="D488" s="2" t="n">
        <x:v>1</x:v>
      </x:c>
      <x:c r="E488" s="10" t="n">
        <x:v>12000</x:v>
      </x:c>
      <x:c r="F488" s="10" t="n">
        <x:v>12000</x:v>
      </x:c>
      <x:c r="G488" s="8" t="n">
        <x:f>INDEX('Órdenes'!$B$7:$B$334,MATCH(A488,'Órdenes'!$A$7:$A$334,0))</x:f>
        <x:v>46163</x:v>
      </x:c>
      <x:c r="H488" s="11" t="n">
        <x:f>DATE(YEAR(G488),MONTH(G488),1)</x:f>
        <x:v>46143</x:v>
      </x:c>
    </x:row>
    <x:row r="489" ht="23" customHeight="1">
      <x:c r="A489" s="2" t="str">
        <x:v>SIM-202605-024</x:v>
      </x:c>
      <x:c r="B489" s="2" t="str">
        <x:v>Gaseosas</x:v>
      </x:c>
      <x:c r="C489" s="2" t="str">
        <x:v>Coca-Cola</x:v>
      </x:c>
      <x:c r="D489" s="2" t="n">
        <x:v>1</x:v>
      </x:c>
      <x:c r="E489" s="10" t="n">
        <x:v>5000</x:v>
      </x:c>
      <x:c r="F489" s="10" t="n">
        <x:v>5000</x:v>
      </x:c>
      <x:c r="G489" s="8" t="n">
        <x:f>INDEX('Órdenes'!$B$7:$B$334,MATCH(A489,'Órdenes'!$A$7:$A$334,0))</x:f>
        <x:v>46163</x:v>
      </x:c>
      <x:c r="H489" s="11" t="n">
        <x:f>DATE(YEAR(G489),MONTH(G489),1)</x:f>
        <x:v>46143</x:v>
      </x:c>
    </x:row>
    <x:row r="490" ht="23" customHeight="1">
      <x:c r="A490" s="2" t="str">
        <x:v>SIM-202605-025</x:v>
      </x:c>
      <x:c r="B490" s="2" t="str">
        <x:v>Hamburguesa Clásica</x:v>
      </x:c>
      <x:c r="C490" s="2" t="str"/>
      <x:c r="D490" s="2" t="n">
        <x:v>1</x:v>
      </x:c>
      <x:c r="E490" s="10" t="n">
        <x:v>15000</x:v>
      </x:c>
      <x:c r="F490" s="10" t="n">
        <x:v>15000</x:v>
      </x:c>
      <x:c r="G490" s="8" t="n">
        <x:f>INDEX('Órdenes'!$B$7:$B$334,MATCH(A490,'Órdenes'!$A$7:$A$334,0))</x:f>
        <x:v>46163</x:v>
      </x:c>
      <x:c r="H490" s="11" t="n">
        <x:f>DATE(YEAR(G490),MONTH(G490),1)</x:f>
        <x:v>46143</x:v>
      </x:c>
    </x:row>
    <x:row r="491" ht="23" customHeight="1">
      <x:c r="A491" s="2" t="str">
        <x:v>SIM-202605-026</x:v>
      </x:c>
      <x:c r="B491" s="2" t="str">
        <x:v>Hamburguesa Clásica</x:v>
      </x:c>
      <x:c r="C491" s="2" t="str"/>
      <x:c r="D491" s="2" t="n">
        <x:v>1</x:v>
      </x:c>
      <x:c r="E491" s="10" t="n">
        <x:v>15000</x:v>
      </x:c>
      <x:c r="F491" s="10" t="n">
        <x:v>15000</x:v>
      </x:c>
      <x:c r="G491" s="8" t="n">
        <x:f>INDEX('Órdenes'!$B$7:$B$334,MATCH(A491,'Órdenes'!$A$7:$A$334,0))</x:f>
        <x:v>46164</x:v>
      </x:c>
      <x:c r="H491" s="11" t="n">
        <x:f>DATE(YEAR(G491),MONTH(G491),1)</x:f>
        <x:v>46143</x:v>
      </x:c>
    </x:row>
    <x:row r="492" ht="23" customHeight="1">
      <x:c r="A492" s="2" t="str">
        <x:v>SIM-202605-026</x:v>
      </x:c>
      <x:c r="B492" s="2" t="str">
        <x:v>Perro caliente</x:v>
      </x:c>
      <x:c r="C492" s="2" t="str"/>
      <x:c r="D492" s="2" t="n">
        <x:v>1</x:v>
      </x:c>
      <x:c r="E492" s="10" t="n">
        <x:v>13000</x:v>
      </x:c>
      <x:c r="F492" s="10" t="n">
        <x:v>13000</x:v>
      </x:c>
      <x:c r="G492" s="8" t="n">
        <x:f>INDEX('Órdenes'!$B$7:$B$334,MATCH(A492,'Órdenes'!$A$7:$A$334,0))</x:f>
        <x:v>46164</x:v>
      </x:c>
      <x:c r="H492" s="11" t="n">
        <x:f>DATE(YEAR(G492),MONTH(G492),1)</x:f>
        <x:v>46143</x:v>
      </x:c>
    </x:row>
    <x:row r="493" ht="23" customHeight="1">
      <x:c r="A493" s="2" t="str">
        <x:v>SIM-202605-026</x:v>
      </x:c>
      <x:c r="B493" s="2" t="str">
        <x:v>Gaseosas</x:v>
      </x:c>
      <x:c r="C493" s="2" t="str">
        <x:v>Coca-Cola</x:v>
      </x:c>
      <x:c r="D493" s="2" t="n">
        <x:v>1</x:v>
      </x:c>
      <x:c r="E493" s="10" t="n">
        <x:v>5000</x:v>
      </x:c>
      <x:c r="F493" s="10" t="n">
        <x:v>5000</x:v>
      </x:c>
      <x:c r="G493" s="8" t="n">
        <x:f>INDEX('Órdenes'!$B$7:$B$334,MATCH(A493,'Órdenes'!$A$7:$A$334,0))</x:f>
        <x:v>46164</x:v>
      </x:c>
      <x:c r="H493" s="11" t="n">
        <x:f>DATE(YEAR(G493),MONTH(G493),1)</x:f>
        <x:v>46143</x:v>
      </x:c>
    </x:row>
    <x:row r="494" ht="23" customHeight="1">
      <x:c r="A494" s="2" t="str">
        <x:v>SIM-202605-027</x:v>
      </x:c>
      <x:c r="B494" s="2" t="str">
        <x:v>Hamburguesa Clásica</x:v>
      </x:c>
      <x:c r="C494" s="2" t="str"/>
      <x:c r="D494" s="2" t="n">
        <x:v>1</x:v>
      </x:c>
      <x:c r="E494" s="10" t="n">
        <x:v>15000</x:v>
      </x:c>
      <x:c r="F494" s="10" t="n">
        <x:v>15000</x:v>
      </x:c>
      <x:c r="G494" s="8" t="n">
        <x:f>INDEX('Órdenes'!$B$7:$B$334,MATCH(A494,'Órdenes'!$A$7:$A$334,0))</x:f>
        <x:v>46165</x:v>
      </x:c>
      <x:c r="H494" s="11" t="n">
        <x:f>DATE(YEAR(G494),MONTH(G494),1)</x:f>
        <x:v>46143</x:v>
      </x:c>
    </x:row>
    <x:row r="495" ht="23" customHeight="1">
      <x:c r="A495" s="2" t="str">
        <x:v>SIM-202605-027</x:v>
      </x:c>
      <x:c r="B495" s="2" t="str">
        <x:v>Gaseosas</x:v>
      </x:c>
      <x:c r="C495" s="2" t="str">
        <x:v>Coca-Cola</x:v>
      </x:c>
      <x:c r="D495" s="2" t="n">
        <x:v>1</x:v>
      </x:c>
      <x:c r="E495" s="10" t="n">
        <x:v>5000</x:v>
      </x:c>
      <x:c r="F495" s="10" t="n">
        <x:v>5000</x:v>
      </x:c>
      <x:c r="G495" s="8" t="n">
        <x:f>INDEX('Órdenes'!$B$7:$B$334,MATCH(A495,'Órdenes'!$A$7:$A$334,0))</x:f>
        <x:v>46165</x:v>
      </x:c>
      <x:c r="H495" s="11" t="n">
        <x:f>DATE(YEAR(G495),MONTH(G495),1)</x:f>
        <x:v>46143</x:v>
      </x:c>
    </x:row>
    <x:row r="496" ht="23" customHeight="1">
      <x:c r="A496" s="2" t="str">
        <x:v>SIM-202605-028</x:v>
      </x:c>
      <x:c r="B496" s="2" t="str">
        <x:v>Hamburguesa Clásica</x:v>
      </x:c>
      <x:c r="C496" s="2" t="str"/>
      <x:c r="D496" s="2" t="n">
        <x:v>2</x:v>
      </x:c>
      <x:c r="E496" s="10" t="n">
        <x:v>15000</x:v>
      </x:c>
      <x:c r="F496" s="10" t="n">
        <x:v>30000</x:v>
      </x:c>
      <x:c r="G496" s="8" t="n">
        <x:f>INDEX('Órdenes'!$B$7:$B$334,MATCH(A496,'Órdenes'!$A$7:$A$334,0))</x:f>
        <x:v>46165</x:v>
      </x:c>
      <x:c r="H496" s="11" t="n">
        <x:f>DATE(YEAR(G496),MONTH(G496),1)</x:f>
        <x:v>46143</x:v>
      </x:c>
    </x:row>
    <x:row r="497" ht="23" customHeight="1">
      <x:c r="A497" s="2" t="str">
        <x:v>SIM-202605-028</x:v>
      </x:c>
      <x:c r="B497" s="2" t="str">
        <x:v>Gaseosas</x:v>
      </x:c>
      <x:c r="C497" s="2" t="str">
        <x:v>Coca-Cola</x:v>
      </x:c>
      <x:c r="D497" s="2" t="n">
        <x:v>1</x:v>
      </x:c>
      <x:c r="E497" s="10" t="n">
        <x:v>5000</x:v>
      </x:c>
      <x:c r="F497" s="10" t="n">
        <x:v>5000</x:v>
      </x:c>
      <x:c r="G497" s="8" t="n">
        <x:f>INDEX('Órdenes'!$B$7:$B$334,MATCH(A497,'Órdenes'!$A$7:$A$334,0))</x:f>
        <x:v>46165</x:v>
      </x:c>
      <x:c r="H497" s="11" t="n">
        <x:f>DATE(YEAR(G497),MONTH(G497),1)</x:f>
        <x:v>46143</x:v>
      </x:c>
    </x:row>
    <x:row r="498" ht="23" customHeight="1">
      <x:c r="A498" s="2" t="str">
        <x:v>SIM-202605-028</x:v>
      </x:c>
      <x:c r="B498" s="2" t="str">
        <x:v>Gaseosas</x:v>
      </x:c>
      <x:c r="C498" s="2" t="str">
        <x:v>Sprite</x:v>
      </x:c>
      <x:c r="D498" s="2" t="n">
        <x:v>1</x:v>
      </x:c>
      <x:c r="E498" s="10" t="n">
        <x:v>5000</x:v>
      </x:c>
      <x:c r="F498" s="10" t="n">
        <x:v>5000</x:v>
      </x:c>
      <x:c r="G498" s="8" t="n">
        <x:f>INDEX('Órdenes'!$B$7:$B$334,MATCH(A498,'Órdenes'!$A$7:$A$334,0))</x:f>
        <x:v>46165</x:v>
      </x:c>
      <x:c r="H498" s="11" t="n">
        <x:f>DATE(YEAR(G498),MONTH(G498),1)</x:f>
        <x:v>46143</x:v>
      </x:c>
    </x:row>
    <x:row r="499" ht="23" customHeight="1">
      <x:c r="A499" s="2" t="str">
        <x:v>SIM-202605-029</x:v>
      </x:c>
      <x:c r="B499" s="2" t="str">
        <x:v>Hamburguesa especial</x:v>
      </x:c>
      <x:c r="C499" s="2" t="str"/>
      <x:c r="D499" s="2" t="n">
        <x:v>1</x:v>
      </x:c>
      <x:c r="E499" s="10" t="n">
        <x:v>20000</x:v>
      </x:c>
      <x:c r="F499" s="10" t="n">
        <x:v>20000</x:v>
      </x:c>
      <x:c r="G499" s="8" t="n">
        <x:f>INDEX('Órdenes'!$B$7:$B$334,MATCH(A499,'Órdenes'!$A$7:$A$334,0))</x:f>
        <x:v>46165</x:v>
      </x:c>
      <x:c r="H499" s="11" t="n">
        <x:f>DATE(YEAR(G499),MONTH(G499),1)</x:f>
        <x:v>46143</x:v>
      </x:c>
    </x:row>
    <x:row r="500" ht="23" customHeight="1">
      <x:c r="A500" s="2" t="str">
        <x:v>SIM-202605-029</x:v>
      </x:c>
      <x:c r="B500" s="2" t="str">
        <x:v>Salchipapas</x:v>
      </x:c>
      <x:c r="C500" s="2" t="str"/>
      <x:c r="D500" s="2" t="n">
        <x:v>2</x:v>
      </x:c>
      <x:c r="E500" s="10" t="n">
        <x:v>12000</x:v>
      </x:c>
      <x:c r="F500" s="10" t="n">
        <x:v>24000</x:v>
      </x:c>
      <x:c r="G500" s="8" t="n">
        <x:f>INDEX('Órdenes'!$B$7:$B$334,MATCH(A500,'Órdenes'!$A$7:$A$334,0))</x:f>
        <x:v>46165</x:v>
      </x:c>
      <x:c r="H500" s="11" t="n">
        <x:f>DATE(YEAR(G500),MONTH(G500),1)</x:f>
        <x:v>46143</x:v>
      </x:c>
    </x:row>
    <x:row r="501" ht="23" customHeight="1">
      <x:c r="A501" s="2" t="str">
        <x:v>SIM-202605-029</x:v>
      </x:c>
      <x:c r="B501" s="2" t="str">
        <x:v>Gaseosas</x:v>
      </x:c>
      <x:c r="C501" s="2" t="str">
        <x:v>Coca-Cola</x:v>
      </x:c>
      <x:c r="D501" s="2" t="n">
        <x:v>2</x:v>
      </x:c>
      <x:c r="E501" s="10" t="n">
        <x:v>5000</x:v>
      </x:c>
      <x:c r="F501" s="10" t="n">
        <x:v>10000</x:v>
      </x:c>
      <x:c r="G501" s="8" t="n">
        <x:f>INDEX('Órdenes'!$B$7:$B$334,MATCH(A501,'Órdenes'!$A$7:$A$334,0))</x:f>
        <x:v>46165</x:v>
      </x:c>
      <x:c r="H501" s="11" t="n">
        <x:f>DATE(YEAR(G501),MONTH(G501),1)</x:f>
        <x:v>46143</x:v>
      </x:c>
    </x:row>
    <x:row r="502" ht="23" customHeight="1">
      <x:c r="A502" s="2" t="str">
        <x:v>SIM-202605-030</x:v>
      </x:c>
      <x:c r="B502" s="2" t="str">
        <x:v>Hamburguesa especial</x:v>
      </x:c>
      <x:c r="C502" s="2" t="str"/>
      <x:c r="D502" s="2" t="n">
        <x:v>1</x:v>
      </x:c>
      <x:c r="E502" s="10" t="n">
        <x:v>20000</x:v>
      </x:c>
      <x:c r="F502" s="10" t="n">
        <x:v>20000</x:v>
      </x:c>
      <x:c r="G502" s="8" t="n">
        <x:f>INDEX('Órdenes'!$B$7:$B$334,MATCH(A502,'Órdenes'!$A$7:$A$334,0))</x:f>
        <x:v>46166</x:v>
      </x:c>
      <x:c r="H502" s="11" t="n">
        <x:f>DATE(YEAR(G502),MONTH(G502),1)</x:f>
        <x:v>46143</x:v>
      </x:c>
    </x:row>
    <x:row r="503" ht="23" customHeight="1">
      <x:c r="A503" s="2" t="str">
        <x:v>SIM-202605-030</x:v>
      </x:c>
      <x:c r="B503" s="2" t="str">
        <x:v>Gaseosas</x:v>
      </x:c>
      <x:c r="C503" s="2" t="str">
        <x:v>Manzana</x:v>
      </x:c>
      <x:c r="D503" s="2" t="n">
        <x:v>1</x:v>
      </x:c>
      <x:c r="E503" s="10" t="n">
        <x:v>5000</x:v>
      </x:c>
      <x:c r="F503" s="10" t="n">
        <x:v>5000</x:v>
      </x:c>
      <x:c r="G503" s="8" t="n">
        <x:f>INDEX('Órdenes'!$B$7:$B$334,MATCH(A503,'Órdenes'!$A$7:$A$334,0))</x:f>
        <x:v>46166</x:v>
      </x:c>
      <x:c r="H503" s="11" t="n">
        <x:f>DATE(YEAR(G503),MONTH(G503),1)</x:f>
        <x:v>46143</x:v>
      </x:c>
    </x:row>
    <x:row r="504" ht="23" customHeight="1">
      <x:c r="A504" s="2" t="str">
        <x:v>SIM-202605-031</x:v>
      </x:c>
      <x:c r="B504" s="2" t="str">
        <x:v>Hamburguesa Clásica</x:v>
      </x:c>
      <x:c r="C504" s="2" t="str"/>
      <x:c r="D504" s="2" t="n">
        <x:v>1</x:v>
      </x:c>
      <x:c r="E504" s="10" t="n">
        <x:v>15000</x:v>
      </x:c>
      <x:c r="F504" s="10" t="n">
        <x:v>15000</x:v>
      </x:c>
      <x:c r="G504" s="8" t="n">
        <x:f>INDEX('Órdenes'!$B$7:$B$334,MATCH(A504,'Órdenes'!$A$7:$A$334,0))</x:f>
        <x:v>46168</x:v>
      </x:c>
      <x:c r="H504" s="11" t="n">
        <x:f>DATE(YEAR(G504),MONTH(G504),1)</x:f>
        <x:v>46143</x:v>
      </x:c>
    </x:row>
    <x:row r="505" ht="23" customHeight="1">
      <x:c r="A505" s="2" t="str">
        <x:v>SIM-202605-031</x:v>
      </x:c>
      <x:c r="B505" s="2" t="str">
        <x:v>Hamburguesa especial</x:v>
      </x:c>
      <x:c r="C505" s="2" t="str"/>
      <x:c r="D505" s="2" t="n">
        <x:v>1</x:v>
      </x:c>
      <x:c r="E505" s="10" t="n">
        <x:v>20000</x:v>
      </x:c>
      <x:c r="F505" s="10" t="n">
        <x:v>20000</x:v>
      </x:c>
      <x:c r="G505" s="8" t="n">
        <x:f>INDEX('Órdenes'!$B$7:$B$334,MATCH(A505,'Órdenes'!$A$7:$A$334,0))</x:f>
        <x:v>46168</x:v>
      </x:c>
      <x:c r="H505" s="11" t="n">
        <x:f>DATE(YEAR(G505),MONTH(G505),1)</x:f>
        <x:v>46143</x:v>
      </x:c>
    </x:row>
    <x:row r="506" ht="23" customHeight="1">
      <x:c r="A506" s="2" t="str">
        <x:v>SIM-202605-031</x:v>
      </x:c>
      <x:c r="B506" s="2" t="str">
        <x:v>Perro caliente</x:v>
      </x:c>
      <x:c r="C506" s="2" t="str"/>
      <x:c r="D506" s="2" t="n">
        <x:v>1</x:v>
      </x:c>
      <x:c r="E506" s="10" t="n">
        <x:v>13000</x:v>
      </x:c>
      <x:c r="F506" s="10" t="n">
        <x:v>13000</x:v>
      </x:c>
      <x:c r="G506" s="8" t="n">
        <x:f>INDEX('Órdenes'!$B$7:$B$334,MATCH(A506,'Órdenes'!$A$7:$A$334,0))</x:f>
        <x:v>46168</x:v>
      </x:c>
      <x:c r="H506" s="11" t="n">
        <x:f>DATE(YEAR(G506),MONTH(G506),1)</x:f>
        <x:v>46143</x:v>
      </x:c>
    </x:row>
    <x:row r="507" ht="23" customHeight="1">
      <x:c r="A507" s="2" t="str">
        <x:v>SIM-202605-031</x:v>
      </x:c>
      <x:c r="B507" s="2" t="str">
        <x:v>Gaseosas</x:v>
      </x:c>
      <x:c r="C507" s="2" t="str">
        <x:v>Coca-Cola</x:v>
      </x:c>
      <x:c r="D507" s="2" t="n">
        <x:v>1</x:v>
      </x:c>
      <x:c r="E507" s="10" t="n">
        <x:v>5000</x:v>
      </x:c>
      <x:c r="F507" s="10" t="n">
        <x:v>5000</x:v>
      </x:c>
      <x:c r="G507" s="8" t="n">
        <x:f>INDEX('Órdenes'!$B$7:$B$334,MATCH(A507,'Órdenes'!$A$7:$A$334,0))</x:f>
        <x:v>46168</x:v>
      </x:c>
      <x:c r="H507" s="11" t="n">
        <x:f>DATE(YEAR(G507),MONTH(G507),1)</x:f>
        <x:v>46143</x:v>
      </x:c>
    </x:row>
    <x:row r="508" ht="23" customHeight="1">
      <x:c r="A508" s="2" t="str">
        <x:v>SIM-202605-031</x:v>
      </x:c>
      <x:c r="B508" s="2" t="str">
        <x:v>Gaseosas</x:v>
      </x:c>
      <x:c r="C508" s="2" t="str">
        <x:v>Sprite</x:v>
      </x:c>
      <x:c r="D508" s="2" t="n">
        <x:v>1</x:v>
      </x:c>
      <x:c r="E508" s="10" t="n">
        <x:v>5000</x:v>
      </x:c>
      <x:c r="F508" s="10" t="n">
        <x:v>5000</x:v>
      </x:c>
      <x:c r="G508" s="8" t="n">
        <x:f>INDEX('Órdenes'!$B$7:$B$334,MATCH(A508,'Órdenes'!$A$7:$A$334,0))</x:f>
        <x:v>46168</x:v>
      </x:c>
      <x:c r="H508" s="11" t="n">
        <x:f>DATE(YEAR(G508),MONTH(G508),1)</x:f>
        <x:v>46143</x:v>
      </x:c>
    </x:row>
    <x:row r="509" ht="23" customHeight="1">
      <x:c r="A509" s="2" t="str">
        <x:v>SIM-202605-032</x:v>
      </x:c>
      <x:c r="B509" s="2" t="str">
        <x:v>Hamburguesa Clásica</x:v>
      </x:c>
      <x:c r="C509" s="2" t="str"/>
      <x:c r="D509" s="2" t="n">
        <x:v>1</x:v>
      </x:c>
      <x:c r="E509" s="10" t="n">
        <x:v>15000</x:v>
      </x:c>
      <x:c r="F509" s="10" t="n">
        <x:v>15000</x:v>
      </x:c>
      <x:c r="G509" s="8" t="n">
        <x:f>INDEX('Órdenes'!$B$7:$B$334,MATCH(A509,'Órdenes'!$A$7:$A$334,0))</x:f>
        <x:v>46168</x:v>
      </x:c>
      <x:c r="H509" s="11" t="n">
        <x:f>DATE(YEAR(G509),MONTH(G509),1)</x:f>
        <x:v>46143</x:v>
      </x:c>
    </x:row>
    <x:row r="510" ht="23" customHeight="1">
      <x:c r="A510" s="2" t="str">
        <x:v>SIM-202605-032</x:v>
      </x:c>
      <x:c r="B510" s="2" t="str">
        <x:v>Gaseosas</x:v>
      </x:c>
      <x:c r="C510" s="2" t="str">
        <x:v>Sprite</x:v>
      </x:c>
      <x:c r="D510" s="2" t="n">
        <x:v>1</x:v>
      </x:c>
      <x:c r="E510" s="10" t="n">
        <x:v>5000</x:v>
      </x:c>
      <x:c r="F510" s="10" t="n">
        <x:v>5000</x:v>
      </x:c>
      <x:c r="G510" s="8" t="n">
        <x:f>INDEX('Órdenes'!$B$7:$B$334,MATCH(A510,'Órdenes'!$A$7:$A$334,0))</x:f>
        <x:v>46168</x:v>
      </x:c>
      <x:c r="H510" s="11" t="n">
        <x:f>DATE(YEAR(G510),MONTH(G510),1)</x:f>
        <x:v>46143</x:v>
      </x:c>
    </x:row>
    <x:row r="511" ht="23" customHeight="1">
      <x:c r="A511" s="2" t="str">
        <x:v>SIM-202605-033</x:v>
      </x:c>
      <x:c r="B511" s="2" t="str">
        <x:v>Hamburguesa Clásica</x:v>
      </x:c>
      <x:c r="C511" s="2" t="str"/>
      <x:c r="D511" s="2" t="n">
        <x:v>1</x:v>
      </x:c>
      <x:c r="E511" s="10" t="n">
        <x:v>15000</x:v>
      </x:c>
      <x:c r="F511" s="10" t="n">
        <x:v>15000</x:v>
      </x:c>
      <x:c r="G511" s="8" t="n">
        <x:f>INDEX('Órdenes'!$B$7:$B$334,MATCH(A511,'Órdenes'!$A$7:$A$334,0))</x:f>
        <x:v>46168</x:v>
      </x:c>
      <x:c r="H511" s="11" t="n">
        <x:f>DATE(YEAR(G511),MONTH(G511),1)</x:f>
        <x:v>46143</x:v>
      </x:c>
    </x:row>
    <x:row r="512" ht="23" customHeight="1">
      <x:c r="A512" s="2" t="str">
        <x:v>SIM-202605-034</x:v>
      </x:c>
      <x:c r="B512" s="2" t="str">
        <x:v>Hamburguesa Clásica</x:v>
      </x:c>
      <x:c r="C512" s="2" t="str"/>
      <x:c r="D512" s="2" t="n">
        <x:v>1</x:v>
      </x:c>
      <x:c r="E512" s="10" t="n">
        <x:v>15000</x:v>
      </x:c>
      <x:c r="F512" s="10" t="n">
        <x:v>15000</x:v>
      </x:c>
      <x:c r="G512" s="8" t="n">
        <x:f>INDEX('Órdenes'!$B$7:$B$334,MATCH(A512,'Órdenes'!$A$7:$A$334,0))</x:f>
        <x:v>46170</x:v>
      </x:c>
      <x:c r="H512" s="11" t="n">
        <x:f>DATE(YEAR(G512),MONTH(G512),1)</x:f>
        <x:v>46143</x:v>
      </x:c>
    </x:row>
    <x:row r="513" ht="23" customHeight="1">
      <x:c r="A513" s="2" t="str">
        <x:v>SIM-202605-034</x:v>
      </x:c>
      <x:c r="B513" s="2" t="str">
        <x:v>Perro caliente</x:v>
      </x:c>
      <x:c r="C513" s="2" t="str"/>
      <x:c r="D513" s="2" t="n">
        <x:v>1</x:v>
      </x:c>
      <x:c r="E513" s="10" t="n">
        <x:v>13000</x:v>
      </x:c>
      <x:c r="F513" s="10" t="n">
        <x:v>13000</x:v>
      </x:c>
      <x:c r="G513" s="8" t="n">
        <x:f>INDEX('Órdenes'!$B$7:$B$334,MATCH(A513,'Órdenes'!$A$7:$A$334,0))</x:f>
        <x:v>46170</x:v>
      </x:c>
      <x:c r="H513" s="11" t="n">
        <x:f>DATE(YEAR(G513),MONTH(G513),1)</x:f>
        <x:v>46143</x:v>
      </x:c>
    </x:row>
    <x:row r="514" ht="23" customHeight="1">
      <x:c r="A514" s="2" t="str">
        <x:v>SIM-202605-034</x:v>
      </x:c>
      <x:c r="B514" s="2" t="str">
        <x:v>Salchipapas</x:v>
      </x:c>
      <x:c r="C514" s="2" t="str"/>
      <x:c r="D514" s="2" t="n">
        <x:v>1</x:v>
      </x:c>
      <x:c r="E514" s="10" t="n">
        <x:v>12000</x:v>
      </x:c>
      <x:c r="F514" s="10" t="n">
        <x:v>12000</x:v>
      </x:c>
      <x:c r="G514" s="8" t="n">
        <x:f>INDEX('Órdenes'!$B$7:$B$334,MATCH(A514,'Órdenes'!$A$7:$A$334,0))</x:f>
        <x:v>46170</x:v>
      </x:c>
      <x:c r="H514" s="11" t="n">
        <x:f>DATE(YEAR(G514),MONTH(G514),1)</x:f>
        <x:v>46143</x:v>
      </x:c>
    </x:row>
    <x:row r="515" ht="23" customHeight="1">
      <x:c r="A515" s="2" t="str">
        <x:v>SIM-202605-034</x:v>
      </x:c>
      <x:c r="B515" s="2" t="str">
        <x:v>Gaseosas</x:v>
      </x:c>
      <x:c r="C515" s="2" t="str">
        <x:v>Coca-Cola</x:v>
      </x:c>
      <x:c r="D515" s="2" t="n">
        <x:v>1</x:v>
      </x:c>
      <x:c r="E515" s="10" t="n">
        <x:v>5000</x:v>
      </x:c>
      <x:c r="F515" s="10" t="n">
        <x:v>5000</x:v>
      </x:c>
      <x:c r="G515" s="8" t="n">
        <x:f>INDEX('Órdenes'!$B$7:$B$334,MATCH(A515,'Órdenes'!$A$7:$A$334,0))</x:f>
        <x:v>46170</x:v>
      </x:c>
      <x:c r="H515" s="11" t="n">
        <x:f>DATE(YEAR(G515),MONTH(G515),1)</x:f>
        <x:v>46143</x:v>
      </x:c>
    </x:row>
    <x:row r="516" ht="23" customHeight="1">
      <x:c r="A516" s="2" t="str">
        <x:v>SIM-202605-034</x:v>
      </x:c>
      <x:c r="B516" s="2" t="str">
        <x:v>Gaseosas</x:v>
      </x:c>
      <x:c r="C516" s="2" t="str">
        <x:v>Sprite</x:v>
      </x:c>
      <x:c r="D516" s="2" t="n">
        <x:v>1</x:v>
      </x:c>
      <x:c r="E516" s="10" t="n">
        <x:v>5000</x:v>
      </x:c>
      <x:c r="F516" s="10" t="n">
        <x:v>5000</x:v>
      </x:c>
      <x:c r="G516" s="8" t="n">
        <x:f>INDEX('Órdenes'!$B$7:$B$334,MATCH(A516,'Órdenes'!$A$7:$A$334,0))</x:f>
        <x:v>46170</x:v>
      </x:c>
      <x:c r="H516" s="11" t="n">
        <x:f>DATE(YEAR(G516),MONTH(G516),1)</x:f>
        <x:v>46143</x:v>
      </x:c>
    </x:row>
    <x:row r="517" ht="23" customHeight="1">
      <x:c r="A517" s="2" t="str">
        <x:v>SIM-202605-035</x:v>
      </x:c>
      <x:c r="B517" s="2" t="str">
        <x:v>Perro caliente</x:v>
      </x:c>
      <x:c r="C517" s="2" t="str"/>
      <x:c r="D517" s="2" t="n">
        <x:v>1</x:v>
      </x:c>
      <x:c r="E517" s="10" t="n">
        <x:v>13000</x:v>
      </x:c>
      <x:c r="F517" s="10" t="n">
        <x:v>13000</x:v>
      </x:c>
      <x:c r="G517" s="8" t="n">
        <x:f>INDEX('Órdenes'!$B$7:$B$334,MATCH(A517,'Órdenes'!$A$7:$A$334,0))</x:f>
        <x:v>46170</x:v>
      </x:c>
      <x:c r="H517" s="11" t="n">
        <x:f>DATE(YEAR(G517),MONTH(G517),1)</x:f>
        <x:v>46143</x:v>
      </x:c>
    </x:row>
    <x:row r="518" ht="23" customHeight="1">
      <x:c r="A518" s="2" t="str">
        <x:v>SIM-202605-035</x:v>
      </x:c>
      <x:c r="B518" s="2" t="str">
        <x:v>Gaseosas</x:v>
      </x:c>
      <x:c r="C518" s="2" t="str">
        <x:v>Coca-Cola</x:v>
      </x:c>
      <x:c r="D518" s="2" t="n">
        <x:v>1</x:v>
      </x:c>
      <x:c r="E518" s="10" t="n">
        <x:v>5000</x:v>
      </x:c>
      <x:c r="F518" s="10" t="n">
        <x:v>5000</x:v>
      </x:c>
      <x:c r="G518" s="8" t="n">
        <x:f>INDEX('Órdenes'!$B$7:$B$334,MATCH(A518,'Órdenes'!$A$7:$A$334,0))</x:f>
        <x:v>46170</x:v>
      </x:c>
      <x:c r="H518" s="11" t="n">
        <x:f>DATE(YEAR(G518),MONTH(G518),1)</x:f>
        <x:v>46143</x:v>
      </x:c>
    </x:row>
    <x:row r="519" ht="23" customHeight="1">
      <x:c r="A519" s="2" t="str">
        <x:v>SIM-202605-036</x:v>
      </x:c>
      <x:c r="B519" s="2" t="str">
        <x:v>Hamburguesa especial</x:v>
      </x:c>
      <x:c r="C519" s="2" t="str"/>
      <x:c r="D519" s="2" t="n">
        <x:v>1</x:v>
      </x:c>
      <x:c r="E519" s="10" t="n">
        <x:v>20000</x:v>
      </x:c>
      <x:c r="F519" s="10" t="n">
        <x:v>20000</x:v>
      </x:c>
      <x:c r="G519" s="8" t="n">
        <x:f>INDEX('Órdenes'!$B$7:$B$334,MATCH(A519,'Órdenes'!$A$7:$A$334,0))</x:f>
        <x:v>46170</x:v>
      </x:c>
      <x:c r="H519" s="11" t="n">
        <x:f>DATE(YEAR(G519),MONTH(G519),1)</x:f>
        <x:v>46143</x:v>
      </x:c>
    </x:row>
    <x:row r="520" ht="23" customHeight="1">
      <x:c r="A520" s="2" t="str">
        <x:v>SIM-202605-036</x:v>
      </x:c>
      <x:c r="B520" s="2" t="str">
        <x:v>Gaseosas</x:v>
      </x:c>
      <x:c r="C520" s="2" t="str">
        <x:v>Sprite</x:v>
      </x:c>
      <x:c r="D520" s="2" t="n">
        <x:v>1</x:v>
      </x:c>
      <x:c r="E520" s="10" t="n">
        <x:v>5000</x:v>
      </x:c>
      <x:c r="F520" s="10" t="n">
        <x:v>5000</x:v>
      </x:c>
      <x:c r="G520" s="8" t="n">
        <x:f>INDEX('Órdenes'!$B$7:$B$334,MATCH(A520,'Órdenes'!$A$7:$A$334,0))</x:f>
        <x:v>46170</x:v>
      </x:c>
      <x:c r="H520" s="11" t="n">
        <x:f>DATE(YEAR(G520),MONTH(G520),1)</x:f>
        <x:v>46143</x:v>
      </x:c>
    </x:row>
    <x:row r="521" ht="23" customHeight="1">
      <x:c r="A521" s="2" t="str">
        <x:v>SIM-202605-037</x:v>
      </x:c>
      <x:c r="B521" s="2" t="str">
        <x:v>Hamburguesa Clásica</x:v>
      </x:c>
      <x:c r="C521" s="2" t="str"/>
      <x:c r="D521" s="2" t="n">
        <x:v>1</x:v>
      </x:c>
      <x:c r="E521" s="10" t="n">
        <x:v>15000</x:v>
      </x:c>
      <x:c r="F521" s="10" t="n">
        <x:v>15000</x:v>
      </x:c>
      <x:c r="G521" s="8" t="n">
        <x:f>INDEX('Órdenes'!$B$7:$B$334,MATCH(A521,'Órdenes'!$A$7:$A$334,0))</x:f>
        <x:v>46171</x:v>
      </x:c>
      <x:c r="H521" s="11" t="n">
        <x:f>DATE(YEAR(G521),MONTH(G521),1)</x:f>
        <x:v>46143</x:v>
      </x:c>
    </x:row>
    <x:row r="522" ht="23" customHeight="1">
      <x:c r="A522" s="2" t="str">
        <x:v>SIM-202605-037</x:v>
      </x:c>
      <x:c r="B522" s="2" t="str">
        <x:v>Gaseosas</x:v>
      </x:c>
      <x:c r="C522" s="2" t="str">
        <x:v>Sprite</x:v>
      </x:c>
      <x:c r="D522" s="2" t="n">
        <x:v>1</x:v>
      </x:c>
      <x:c r="E522" s="10" t="n">
        <x:v>5000</x:v>
      </x:c>
      <x:c r="F522" s="10" t="n">
        <x:v>5000</x:v>
      </x:c>
      <x:c r="G522" s="8" t="n">
        <x:f>INDEX('Órdenes'!$B$7:$B$334,MATCH(A522,'Órdenes'!$A$7:$A$334,0))</x:f>
        <x:v>46171</x:v>
      </x:c>
      <x:c r="H522" s="11" t="n">
        <x:f>DATE(YEAR(G522),MONTH(G522),1)</x:f>
        <x:v>46143</x:v>
      </x:c>
    </x:row>
    <x:row r="523" ht="23" customHeight="1">
      <x:c r="A523" s="2" t="str">
        <x:v>SIM-202605-038</x:v>
      </x:c>
      <x:c r="B523" s="2" t="str">
        <x:v>Hamburguesa Clásica</x:v>
      </x:c>
      <x:c r="C523" s="2" t="str"/>
      <x:c r="D523" s="2" t="n">
        <x:v>1</x:v>
      </x:c>
      <x:c r="E523" s="10" t="n">
        <x:v>15000</x:v>
      </x:c>
      <x:c r="F523" s="10" t="n">
        <x:v>15000</x:v>
      </x:c>
      <x:c r="G523" s="8" t="n">
        <x:f>INDEX('Órdenes'!$B$7:$B$334,MATCH(A523,'Órdenes'!$A$7:$A$334,0))</x:f>
        <x:v>46171</x:v>
      </x:c>
      <x:c r="H523" s="11" t="n">
        <x:f>DATE(YEAR(G523),MONTH(G523),1)</x:f>
        <x:v>46143</x:v>
      </x:c>
    </x:row>
    <x:row r="524" ht="23" customHeight="1">
      <x:c r="A524" s="2" t="str">
        <x:v>SIM-202605-038</x:v>
      </x:c>
      <x:c r="B524" s="2" t="str">
        <x:v>Perro caliente</x:v>
      </x:c>
      <x:c r="C524" s="2" t="str"/>
      <x:c r="D524" s="2" t="n">
        <x:v>1</x:v>
      </x:c>
      <x:c r="E524" s="10" t="n">
        <x:v>13000</x:v>
      </x:c>
      <x:c r="F524" s="10" t="n">
        <x:v>13000</x:v>
      </x:c>
      <x:c r="G524" s="8" t="n">
        <x:f>INDEX('Órdenes'!$B$7:$B$334,MATCH(A524,'Órdenes'!$A$7:$A$334,0))</x:f>
        <x:v>46171</x:v>
      </x:c>
      <x:c r="H524" s="11" t="n">
        <x:f>DATE(YEAR(G524),MONTH(G524),1)</x:f>
        <x:v>46143</x:v>
      </x:c>
    </x:row>
    <x:row r="525" ht="23" customHeight="1">
      <x:c r="A525" s="2" t="str">
        <x:v>SIM-202605-038</x:v>
      </x:c>
      <x:c r="B525" s="2" t="str">
        <x:v>Gaseosas</x:v>
      </x:c>
      <x:c r="C525" s="2" t="str">
        <x:v>Coca-Cola</x:v>
      </x:c>
      <x:c r="D525" s="2" t="n">
        <x:v>1</x:v>
      </x:c>
      <x:c r="E525" s="10" t="n">
        <x:v>5000</x:v>
      </x:c>
      <x:c r="F525" s="10" t="n">
        <x:v>5000</x:v>
      </x:c>
      <x:c r="G525" s="8" t="n">
        <x:f>INDEX('Órdenes'!$B$7:$B$334,MATCH(A525,'Órdenes'!$A$7:$A$334,0))</x:f>
        <x:v>46171</x:v>
      </x:c>
      <x:c r="H525" s="11" t="n">
        <x:f>DATE(YEAR(G525),MONTH(G525),1)</x:f>
        <x:v>46143</x:v>
      </x:c>
    </x:row>
    <x:row r="526" ht="23" customHeight="1">
      <x:c r="A526" s="2" t="str">
        <x:v>SIM-202605-039</x:v>
      </x:c>
      <x:c r="B526" s="2" t="str">
        <x:v>Hamburguesa Clásica</x:v>
      </x:c>
      <x:c r="C526" s="2" t="str"/>
      <x:c r="D526" s="2" t="n">
        <x:v>1</x:v>
      </x:c>
      <x:c r="E526" s="10" t="n">
        <x:v>15000</x:v>
      </x:c>
      <x:c r="F526" s="10" t="n">
        <x:v>15000</x:v>
      </x:c>
      <x:c r="G526" s="8" t="n">
        <x:f>INDEX('Órdenes'!$B$7:$B$334,MATCH(A526,'Órdenes'!$A$7:$A$334,0))</x:f>
        <x:v>46172</x:v>
      </x:c>
      <x:c r="H526" s="11" t="n">
        <x:f>DATE(YEAR(G526),MONTH(G526),1)</x:f>
        <x:v>46143</x:v>
      </x:c>
    </x:row>
    <x:row r="527" ht="23" customHeight="1">
      <x:c r="A527" s="2" t="str">
        <x:v>SIM-202605-039</x:v>
      </x:c>
      <x:c r="B527" s="2" t="str">
        <x:v>Perro caliente</x:v>
      </x:c>
      <x:c r="C527" s="2" t="str"/>
      <x:c r="D527" s="2" t="n">
        <x:v>2</x:v>
      </x:c>
      <x:c r="E527" s="10" t="n">
        <x:v>13000</x:v>
      </x:c>
      <x:c r="F527" s="10" t="n">
        <x:v>26000</x:v>
      </x:c>
      <x:c r="G527" s="8" t="n">
        <x:f>INDEX('Órdenes'!$B$7:$B$334,MATCH(A527,'Órdenes'!$A$7:$A$334,0))</x:f>
        <x:v>46172</x:v>
      </x:c>
      <x:c r="H527" s="11" t="n">
        <x:f>DATE(YEAR(G527),MONTH(G527),1)</x:f>
        <x:v>46143</x:v>
      </x:c>
    </x:row>
    <x:row r="528" ht="23" customHeight="1">
      <x:c r="A528" s="2" t="str">
        <x:v>SIM-202605-039</x:v>
      </x:c>
      <x:c r="B528" s="2" t="str">
        <x:v>Gaseosas</x:v>
      </x:c>
      <x:c r="C528" s="2" t="str">
        <x:v>Coca-Cola</x:v>
      </x:c>
      <x:c r="D528" s="2" t="n">
        <x:v>2</x:v>
      </x:c>
      <x:c r="E528" s="10" t="n">
        <x:v>5000</x:v>
      </x:c>
      <x:c r="F528" s="10" t="n">
        <x:v>10000</x:v>
      </x:c>
      <x:c r="G528" s="8" t="n">
        <x:f>INDEX('Órdenes'!$B$7:$B$334,MATCH(A528,'Órdenes'!$A$7:$A$334,0))</x:f>
        <x:v>46172</x:v>
      </x:c>
      <x:c r="H528" s="11" t="n">
        <x:f>DATE(YEAR(G528),MONTH(G528),1)</x:f>
        <x:v>46143</x:v>
      </x:c>
    </x:row>
    <x:row r="529" ht="23" customHeight="1">
      <x:c r="A529" s="2" t="str">
        <x:v>SIM-202605-040</x:v>
      </x:c>
      <x:c r="B529" s="2" t="str">
        <x:v>Hamburguesa Clásica</x:v>
      </x:c>
      <x:c r="C529" s="2" t="str"/>
      <x:c r="D529" s="2" t="n">
        <x:v>1</x:v>
      </x:c>
      <x:c r="E529" s="10" t="n">
        <x:v>15000</x:v>
      </x:c>
      <x:c r="F529" s="10" t="n">
        <x:v>15000</x:v>
      </x:c>
      <x:c r="G529" s="8" t="n">
        <x:f>INDEX('Órdenes'!$B$7:$B$334,MATCH(A529,'Órdenes'!$A$7:$A$334,0))</x:f>
        <x:v>46172</x:v>
      </x:c>
      <x:c r="H529" s="11" t="n">
        <x:f>DATE(YEAR(G529),MONTH(G529),1)</x:f>
        <x:v>46143</x:v>
      </x:c>
    </x:row>
    <x:row r="530" ht="23" customHeight="1">
      <x:c r="A530" s="2" t="str">
        <x:v>SIM-202605-040</x:v>
      </x:c>
      <x:c r="B530" s="2" t="str">
        <x:v>Gaseosas</x:v>
      </x:c>
      <x:c r="C530" s="2" t="str">
        <x:v>Coca-Cola</x:v>
      </x:c>
      <x:c r="D530" s="2" t="n">
        <x:v>1</x:v>
      </x:c>
      <x:c r="E530" s="10" t="n">
        <x:v>5000</x:v>
      </x:c>
      <x:c r="F530" s="10" t="n">
        <x:v>5000</x:v>
      </x:c>
      <x:c r="G530" s="8" t="n">
        <x:f>INDEX('Órdenes'!$B$7:$B$334,MATCH(A530,'Órdenes'!$A$7:$A$334,0))</x:f>
        <x:v>46172</x:v>
      </x:c>
      <x:c r="H530" s="11" t="n">
        <x:f>DATE(YEAR(G530),MONTH(G530),1)</x:f>
        <x:v>46143</x:v>
      </x:c>
    </x:row>
    <x:row r="531" ht="23" customHeight="1">
      <x:c r="A531" s="2" t="str">
        <x:v>SIM-202605-041</x:v>
      </x:c>
      <x:c r="B531" s="2" t="str">
        <x:v>Hamburguesa Clásica</x:v>
      </x:c>
      <x:c r="C531" s="2" t="str"/>
      <x:c r="D531" s="2" t="n">
        <x:v>2</x:v>
      </x:c>
      <x:c r="E531" s="10" t="n">
        <x:v>15000</x:v>
      </x:c>
      <x:c r="F531" s="10" t="n">
        <x:v>30000</x:v>
      </x:c>
      <x:c r="G531" s="8" t="n">
        <x:f>INDEX('Órdenes'!$B$7:$B$334,MATCH(A531,'Órdenes'!$A$7:$A$334,0))</x:f>
        <x:v>46173</x:v>
      </x:c>
      <x:c r="H531" s="11" t="n">
        <x:f>DATE(YEAR(G531),MONTH(G531),1)</x:f>
        <x:v>46143</x:v>
      </x:c>
    </x:row>
    <x:row r="532" ht="23" customHeight="1">
      <x:c r="A532" s="2" t="str">
        <x:v>SIM-202605-041</x:v>
      </x:c>
      <x:c r="B532" s="2" t="str">
        <x:v>Perro caliente</x:v>
      </x:c>
      <x:c r="C532" s="2" t="str"/>
      <x:c r="D532" s="2" t="n">
        <x:v>1</x:v>
      </x:c>
      <x:c r="E532" s="10" t="n">
        <x:v>13000</x:v>
      </x:c>
      <x:c r="F532" s="10" t="n">
        <x:v>13000</x:v>
      </x:c>
      <x:c r="G532" s="8" t="n">
        <x:f>INDEX('Órdenes'!$B$7:$B$334,MATCH(A532,'Órdenes'!$A$7:$A$334,0))</x:f>
        <x:v>46173</x:v>
      </x:c>
      <x:c r="H532" s="11" t="n">
        <x:f>DATE(YEAR(G532),MONTH(G532),1)</x:f>
        <x:v>46143</x:v>
      </x:c>
    </x:row>
    <x:row r="533" ht="23" customHeight="1">
      <x:c r="A533" s="2" t="str">
        <x:v>SIM-202605-041</x:v>
      </x:c>
      <x:c r="B533" s="2" t="str">
        <x:v>Salchipapas</x:v>
      </x:c>
      <x:c r="C533" s="2" t="str"/>
      <x:c r="D533" s="2" t="n">
        <x:v>1</x:v>
      </x:c>
      <x:c r="E533" s="10" t="n">
        <x:v>12000</x:v>
      </x:c>
      <x:c r="F533" s="10" t="n">
        <x:v>12000</x:v>
      </x:c>
      <x:c r="G533" s="8" t="n">
        <x:f>INDEX('Órdenes'!$B$7:$B$334,MATCH(A533,'Órdenes'!$A$7:$A$334,0))</x:f>
        <x:v>46173</x:v>
      </x:c>
      <x:c r="H533" s="11" t="n">
        <x:f>DATE(YEAR(G533),MONTH(G533),1)</x:f>
        <x:v>46143</x:v>
      </x:c>
    </x:row>
    <x:row r="534" ht="23" customHeight="1">
      <x:c r="A534" s="2" t="str">
        <x:v>SIM-202605-041</x:v>
      </x:c>
      <x:c r="B534" s="2" t="str">
        <x:v>Gaseosas</x:v>
      </x:c>
      <x:c r="C534" s="2" t="str">
        <x:v>Coca-Cola</x:v>
      </x:c>
      <x:c r="D534" s="2" t="n">
        <x:v>2</x:v>
      </x:c>
      <x:c r="E534" s="10" t="n">
        <x:v>5000</x:v>
      </x:c>
      <x:c r="F534" s="10" t="n">
        <x:v>10000</x:v>
      </x:c>
      <x:c r="G534" s="8" t="n">
        <x:f>INDEX('Órdenes'!$B$7:$B$334,MATCH(A534,'Órdenes'!$A$7:$A$334,0))</x:f>
        <x:v>46173</x:v>
      </x:c>
      <x:c r="H534" s="11" t="n">
        <x:f>DATE(YEAR(G534),MONTH(G534),1)</x:f>
        <x:v>46143</x:v>
      </x:c>
    </x:row>
    <x:row r="535" ht="23" customHeight="1">
      <x:c r="A535" s="2" t="str">
        <x:v>SIM-202605-041</x:v>
      </x:c>
      <x:c r="B535" s="2" t="str">
        <x:v>Gaseosas</x:v>
      </x:c>
      <x:c r="C535" s="2" t="str">
        <x:v>Sprite</x:v>
      </x:c>
      <x:c r="D535" s="2" t="n">
        <x:v>1</x:v>
      </x:c>
      <x:c r="E535" s="10" t="n">
        <x:v>5000</x:v>
      </x:c>
      <x:c r="F535" s="10" t="n">
        <x:v>5000</x:v>
      </x:c>
      <x:c r="G535" s="8" t="n">
        <x:f>INDEX('Órdenes'!$B$7:$B$334,MATCH(A535,'Órdenes'!$A$7:$A$334,0))</x:f>
        <x:v>46173</x:v>
      </x:c>
      <x:c r="H535" s="11" t="n">
        <x:f>DATE(YEAR(G535),MONTH(G535),1)</x:f>
        <x:v>46143</x:v>
      </x:c>
    </x:row>
    <x:row r="536" ht="23" customHeight="1">
      <x:c r="A536" s="2" t="str">
        <x:v>SIM-202605-042</x:v>
      </x:c>
      <x:c r="B536" s="2" t="str">
        <x:v>Hamburguesa Clásica</x:v>
      </x:c>
      <x:c r="C536" s="2" t="str"/>
      <x:c r="D536" s="2" t="n">
        <x:v>1</x:v>
      </x:c>
      <x:c r="E536" s="10" t="n">
        <x:v>15000</x:v>
      </x:c>
      <x:c r="F536" s="10" t="n">
        <x:v>15000</x:v>
      </x:c>
      <x:c r="G536" s="8" t="n">
        <x:f>INDEX('Órdenes'!$B$7:$B$334,MATCH(A536,'Órdenes'!$A$7:$A$334,0))</x:f>
        <x:v>46173</x:v>
      </x:c>
      <x:c r="H536" s="11" t="n">
        <x:f>DATE(YEAR(G536),MONTH(G536),1)</x:f>
        <x:v>46143</x:v>
      </x:c>
    </x:row>
    <x:row r="537" ht="23" customHeight="1">
      <x:c r="A537" s="2" t="str">
        <x:v>SIM-202605-042</x:v>
      </x:c>
      <x:c r="B537" s="2" t="str">
        <x:v>Hamburguesa especial</x:v>
      </x:c>
      <x:c r="C537" s="2" t="str"/>
      <x:c r="D537" s="2" t="n">
        <x:v>1</x:v>
      </x:c>
      <x:c r="E537" s="10" t="n">
        <x:v>20000</x:v>
      </x:c>
      <x:c r="F537" s="10" t="n">
        <x:v>20000</x:v>
      </x:c>
      <x:c r="G537" s="8" t="n">
        <x:f>INDEX('Órdenes'!$B$7:$B$334,MATCH(A537,'Órdenes'!$A$7:$A$334,0))</x:f>
        <x:v>46173</x:v>
      </x:c>
      <x:c r="H537" s="11" t="n">
        <x:f>DATE(YEAR(G537),MONTH(G537),1)</x:f>
        <x:v>46143</x:v>
      </x:c>
    </x:row>
    <x:row r="538" ht="23" customHeight="1">
      <x:c r="A538" s="2" t="str">
        <x:v>SIM-202605-042</x:v>
      </x:c>
      <x:c r="B538" s="2" t="str">
        <x:v>Gaseosas</x:v>
      </x:c>
      <x:c r="C538" s="2" t="str">
        <x:v>Coca-Cola</x:v>
      </x:c>
      <x:c r="D538" s="2" t="n">
        <x:v>1</x:v>
      </x:c>
      <x:c r="E538" s="10" t="n">
        <x:v>5000</x:v>
      </x:c>
      <x:c r="F538" s="10" t="n">
        <x:v>5000</x:v>
      </x:c>
      <x:c r="G538" s="8" t="n">
        <x:f>INDEX('Órdenes'!$B$7:$B$334,MATCH(A538,'Órdenes'!$A$7:$A$334,0))</x:f>
        <x:v>46173</x:v>
      </x:c>
      <x:c r="H538" s="11" t="n">
        <x:f>DATE(YEAR(G538),MONTH(G538),1)</x:f>
        <x:v>46143</x:v>
      </x:c>
    </x:row>
    <x:row r="539" ht="23" customHeight="1">
      <x:c r="A539" s="2" t="str">
        <x:v>SIM-202605-043</x:v>
      </x:c>
      <x:c r="B539" s="2" t="str">
        <x:v>Hamburguesa Clásica</x:v>
      </x:c>
      <x:c r="C539" s="2" t="str"/>
      <x:c r="D539" s="2" t="n">
        <x:v>1</x:v>
      </x:c>
      <x:c r="E539" s="10" t="n">
        <x:v>15000</x:v>
      </x:c>
      <x:c r="F539" s="10" t="n">
        <x:v>15000</x:v>
      </x:c>
      <x:c r="G539" s="8" t="n">
        <x:f>INDEX('Órdenes'!$B$7:$B$334,MATCH(A539,'Órdenes'!$A$7:$A$334,0))</x:f>
        <x:v>46173</x:v>
      </x:c>
      <x:c r="H539" s="11" t="n">
        <x:f>DATE(YEAR(G539),MONTH(G539),1)</x:f>
        <x:v>46143</x:v>
      </x:c>
    </x:row>
    <x:row r="540" ht="23" customHeight="1">
      <x:c r="A540" s="2" t="str">
        <x:v>SIM-202605-043</x:v>
      </x:c>
      <x:c r="B540" s="2" t="str">
        <x:v>Hamburguesa especial</x:v>
      </x:c>
      <x:c r="C540" s="2" t="str"/>
      <x:c r="D540" s="2" t="n">
        <x:v>1</x:v>
      </x:c>
      <x:c r="E540" s="10" t="n">
        <x:v>20000</x:v>
      </x:c>
      <x:c r="F540" s="10" t="n">
        <x:v>20000</x:v>
      </x:c>
      <x:c r="G540" s="8" t="n">
        <x:f>INDEX('Órdenes'!$B$7:$B$334,MATCH(A540,'Órdenes'!$A$7:$A$334,0))</x:f>
        <x:v>46173</x:v>
      </x:c>
      <x:c r="H540" s="11" t="n">
        <x:f>DATE(YEAR(G540),MONTH(G540),1)</x:f>
        <x:v>46143</x:v>
      </x:c>
    </x:row>
    <x:row r="541" ht="23" customHeight="1">
      <x:c r="A541" s="2" t="str">
        <x:v>SIM-202605-043</x:v>
      </x:c>
      <x:c r="B541" s="2" t="str">
        <x:v>Salchipapas</x:v>
      </x:c>
      <x:c r="C541" s="2" t="str"/>
      <x:c r="D541" s="2" t="n">
        <x:v>2</x:v>
      </x:c>
      <x:c r="E541" s="10" t="n">
        <x:v>12000</x:v>
      </x:c>
      <x:c r="F541" s="10" t="n">
        <x:v>24000</x:v>
      </x:c>
      <x:c r="G541" s="8" t="n">
        <x:f>INDEX('Órdenes'!$B$7:$B$334,MATCH(A541,'Órdenes'!$A$7:$A$334,0))</x:f>
        <x:v>46173</x:v>
      </x:c>
      <x:c r="H541" s="11" t="n">
        <x:f>DATE(YEAR(G541),MONTH(G541),1)</x:f>
        <x:v>46143</x:v>
      </x:c>
    </x:row>
    <x:row r="542" ht="23" customHeight="1">
      <x:c r="A542" s="2" t="str">
        <x:v>SIM-202605-043</x:v>
      </x:c>
      <x:c r="B542" s="2" t="str">
        <x:v>Gaseosas</x:v>
      </x:c>
      <x:c r="C542" s="2" t="str">
        <x:v>Coca-Cola</x:v>
      </x:c>
      <x:c r="D542" s="2" t="n">
        <x:v>2</x:v>
      </x:c>
      <x:c r="E542" s="10" t="n">
        <x:v>5000</x:v>
      </x:c>
      <x:c r="F542" s="10" t="n">
        <x:v>10000</x:v>
      </x:c>
      <x:c r="G542" s="8" t="n">
        <x:f>INDEX('Órdenes'!$B$7:$B$334,MATCH(A542,'Órdenes'!$A$7:$A$334,0))</x:f>
        <x:v>46173</x:v>
      </x:c>
      <x:c r="H542" s="11" t="n">
        <x:f>DATE(YEAR(G542),MONTH(G542),1)</x:f>
        <x:v>46143</x:v>
      </x:c>
    </x:row>
    <x:row r="543" ht="23" customHeight="1">
      <x:c r="A543" s="2" t="str">
        <x:v>SIM-202605-043</x:v>
      </x:c>
      <x:c r="B543" s="2" t="str">
        <x:v>Gaseosas</x:v>
      </x:c>
      <x:c r="C543" s="2" t="str">
        <x:v>Manzana</x:v>
      </x:c>
      <x:c r="D543" s="2" t="n">
        <x:v>1</x:v>
      </x:c>
      <x:c r="E543" s="10" t="n">
        <x:v>5000</x:v>
      </x:c>
      <x:c r="F543" s="10" t="n">
        <x:v>5000</x:v>
      </x:c>
      <x:c r="G543" s="8" t="n">
        <x:f>INDEX('Órdenes'!$B$7:$B$334,MATCH(A543,'Órdenes'!$A$7:$A$334,0))</x:f>
        <x:v>46173</x:v>
      </x:c>
      <x:c r="H543" s="11" t="n">
        <x:f>DATE(YEAR(G543),MONTH(G543),1)</x:f>
        <x:v>46143</x:v>
      </x:c>
    </x:row>
    <x:row r="544" ht="23" customHeight="1">
      <x:c r="A544" s="2" t="str">
        <x:v>SIM-202605-044</x:v>
      </x:c>
      <x:c r="B544" s="2" t="str">
        <x:v>Hamburguesa especial</x:v>
      </x:c>
      <x:c r="C544" s="2" t="str"/>
      <x:c r="D544" s="2" t="n">
        <x:v>1</x:v>
      </x:c>
      <x:c r="E544" s="10" t="n">
        <x:v>20000</x:v>
      </x:c>
      <x:c r="F544" s="10" t="n">
        <x:v>20000</x:v>
      </x:c>
      <x:c r="G544" s="8" t="n">
        <x:f>INDEX('Órdenes'!$B$7:$B$334,MATCH(A544,'Órdenes'!$A$7:$A$334,0))</x:f>
        <x:v>46173</x:v>
      </x:c>
      <x:c r="H544" s="11" t="n">
        <x:f>DATE(YEAR(G544),MONTH(G544),1)</x:f>
        <x:v>46143</x:v>
      </x:c>
    </x:row>
    <x:row r="545" ht="23" customHeight="1">
      <x:c r="A545" s="2" t="str">
        <x:v>SIM-202605-044</x:v>
      </x:c>
      <x:c r="B545" s="2" t="str">
        <x:v>Gaseosas</x:v>
      </x:c>
      <x:c r="C545" s="2" t="str">
        <x:v>Coca-Cola</x:v>
      </x:c>
      <x:c r="D545" s="2" t="n">
        <x:v>1</x:v>
      </x:c>
      <x:c r="E545" s="10" t="n">
        <x:v>5000</x:v>
      </x:c>
      <x:c r="F545" s="10" t="n">
        <x:v>5000</x:v>
      </x:c>
      <x:c r="G545" s="8" t="n">
        <x:f>INDEX('Órdenes'!$B$7:$B$334,MATCH(A545,'Órdenes'!$A$7:$A$334,0))</x:f>
        <x:v>46173</x:v>
      </x:c>
      <x:c r="H545" s="11" t="n">
        <x:f>DATE(YEAR(G545),MONTH(G545),1)</x:f>
        <x:v>46143</x:v>
      </x:c>
    </x:row>
    <x:row r="546" ht="23" customHeight="1">
      <x:c r="A546" s="2" t="str">
        <x:v>SIM-202606-001</x:v>
      </x:c>
      <x:c r="B546" s="2" t="str">
        <x:v>Hamburguesa especial</x:v>
      </x:c>
      <x:c r="C546" s="2" t="str"/>
      <x:c r="D546" s="2" t="n">
        <x:v>1</x:v>
      </x:c>
      <x:c r="E546" s="10" t="n">
        <x:v>20000</x:v>
      </x:c>
      <x:c r="F546" s="10" t="n">
        <x:v>20000</x:v>
      </x:c>
      <x:c r="G546" s="8" t="n">
        <x:f>INDEX('Órdenes'!$B$7:$B$334,MATCH(A546,'Órdenes'!$A$7:$A$334,0))</x:f>
        <x:v>46175</x:v>
      </x:c>
      <x:c r="H546" s="11" t="n">
        <x:f>DATE(YEAR(G546),MONTH(G546),1)</x:f>
        <x:v>46174</x:v>
      </x:c>
    </x:row>
    <x:row r="547" ht="23" customHeight="1">
      <x:c r="A547" s="2" t="str">
        <x:v>SIM-202606-001</x:v>
      </x:c>
      <x:c r="B547" s="2" t="str">
        <x:v>Gaseosas</x:v>
      </x:c>
      <x:c r="C547" s="2" t="str">
        <x:v>Sprite</x:v>
      </x:c>
      <x:c r="D547" s="2" t="n">
        <x:v>1</x:v>
      </x:c>
      <x:c r="E547" s="10" t="n">
        <x:v>5000</x:v>
      </x:c>
      <x:c r="F547" s="10" t="n">
        <x:v>5000</x:v>
      </x:c>
      <x:c r="G547" s="8" t="n">
        <x:f>INDEX('Órdenes'!$B$7:$B$334,MATCH(A547,'Órdenes'!$A$7:$A$334,0))</x:f>
        <x:v>46175</x:v>
      </x:c>
      <x:c r="H547" s="11" t="n">
        <x:f>DATE(YEAR(G547),MONTH(G547),1)</x:f>
        <x:v>46174</x:v>
      </x:c>
    </x:row>
    <x:row r="548" ht="23" customHeight="1">
      <x:c r="A548" s="2" t="str">
        <x:v>SIM-202606-002</x:v>
      </x:c>
      <x:c r="B548" s="2" t="str">
        <x:v>Hamburguesa Clásica</x:v>
      </x:c>
      <x:c r="C548" s="2" t="str"/>
      <x:c r="D548" s="2" t="n">
        <x:v>1</x:v>
      </x:c>
      <x:c r="E548" s="10" t="n">
        <x:v>15000</x:v>
      </x:c>
      <x:c r="F548" s="10" t="n">
        <x:v>15000</x:v>
      </x:c>
      <x:c r="G548" s="8" t="n">
        <x:f>INDEX('Órdenes'!$B$7:$B$334,MATCH(A548,'Órdenes'!$A$7:$A$334,0))</x:f>
        <x:v>46177</x:v>
      </x:c>
      <x:c r="H548" s="11" t="n">
        <x:f>DATE(YEAR(G548),MONTH(G548),1)</x:f>
        <x:v>46174</x:v>
      </x:c>
    </x:row>
    <x:row r="549" ht="23" customHeight="1">
      <x:c r="A549" s="2" t="str">
        <x:v>SIM-202606-002</x:v>
      </x:c>
      <x:c r="B549" s="2" t="str">
        <x:v>Hamburguesa especial</x:v>
      </x:c>
      <x:c r="C549" s="2" t="str"/>
      <x:c r="D549" s="2" t="n">
        <x:v>1</x:v>
      </x:c>
      <x:c r="E549" s="10" t="n">
        <x:v>20000</x:v>
      </x:c>
      <x:c r="F549" s="10" t="n">
        <x:v>20000</x:v>
      </x:c>
      <x:c r="G549" s="8" t="n">
        <x:f>INDEX('Órdenes'!$B$7:$B$334,MATCH(A549,'Órdenes'!$A$7:$A$334,0))</x:f>
        <x:v>46177</x:v>
      </x:c>
      <x:c r="H549" s="11" t="n">
        <x:f>DATE(YEAR(G549),MONTH(G549),1)</x:f>
        <x:v>46174</x:v>
      </x:c>
    </x:row>
    <x:row r="550" ht="23" customHeight="1">
      <x:c r="A550" s="2" t="str">
        <x:v>SIM-202606-002</x:v>
      </x:c>
      <x:c r="B550" s="2" t="str">
        <x:v>Gaseosas</x:v>
      </x:c>
      <x:c r="C550" s="2" t="str">
        <x:v>Coca-Cola</x:v>
      </x:c>
      <x:c r="D550" s="2" t="n">
        <x:v>1</x:v>
      </x:c>
      <x:c r="E550" s="10" t="n">
        <x:v>5000</x:v>
      </x:c>
      <x:c r="F550" s="10" t="n">
        <x:v>5000</x:v>
      </x:c>
      <x:c r="G550" s="8" t="n">
        <x:f>INDEX('Órdenes'!$B$7:$B$334,MATCH(A550,'Órdenes'!$A$7:$A$334,0))</x:f>
        <x:v>46177</x:v>
      </x:c>
      <x:c r="H550" s="11" t="n">
        <x:f>DATE(YEAR(G550),MONTH(G550),1)</x:f>
        <x:v>46174</x:v>
      </x:c>
    </x:row>
    <x:row r="551" ht="23" customHeight="1">
      <x:c r="A551" s="2" t="str">
        <x:v>SIM-202606-002</x:v>
      </x:c>
      <x:c r="B551" s="2" t="str">
        <x:v>Gaseosas</x:v>
      </x:c>
      <x:c r="C551" s="2" t="str">
        <x:v>Manzana</x:v>
      </x:c>
      <x:c r="D551" s="2" t="n">
        <x:v>1</x:v>
      </x:c>
      <x:c r="E551" s="10" t="n">
        <x:v>5000</x:v>
      </x:c>
      <x:c r="F551" s="10" t="n">
        <x:v>5000</x:v>
      </x:c>
      <x:c r="G551" s="8" t="n">
        <x:f>INDEX('Órdenes'!$B$7:$B$334,MATCH(A551,'Órdenes'!$A$7:$A$334,0))</x:f>
        <x:v>46177</x:v>
      </x:c>
      <x:c r="H551" s="11" t="n">
        <x:f>DATE(YEAR(G551),MONTH(G551),1)</x:f>
        <x:v>46174</x:v>
      </x:c>
    </x:row>
    <x:row r="552" ht="23" customHeight="1">
      <x:c r="A552" s="2" t="str">
        <x:v>SIM-202606-003</x:v>
      </x:c>
      <x:c r="B552" s="2" t="str">
        <x:v>Hamburguesa Clásica</x:v>
      </x:c>
      <x:c r="C552" s="2" t="str"/>
      <x:c r="D552" s="2" t="n">
        <x:v>1</x:v>
      </x:c>
      <x:c r="E552" s="10" t="n">
        <x:v>15000</x:v>
      </x:c>
      <x:c r="F552" s="10" t="n">
        <x:v>15000</x:v>
      </x:c>
      <x:c r="G552" s="8" t="n">
        <x:f>INDEX('Órdenes'!$B$7:$B$334,MATCH(A552,'Órdenes'!$A$7:$A$334,0))</x:f>
        <x:v>46177</x:v>
      </x:c>
      <x:c r="H552" s="11" t="n">
        <x:f>DATE(YEAR(G552),MONTH(G552),1)</x:f>
        <x:v>46174</x:v>
      </x:c>
    </x:row>
    <x:row r="553" ht="23" customHeight="1">
      <x:c r="A553" s="2" t="str">
        <x:v>SIM-202606-003</x:v>
      </x:c>
      <x:c r="B553" s="2" t="str">
        <x:v>Salchipapas</x:v>
      </x:c>
      <x:c r="C553" s="2" t="str"/>
      <x:c r="D553" s="2" t="n">
        <x:v>2</x:v>
      </x:c>
      <x:c r="E553" s="10" t="n">
        <x:v>12000</x:v>
      </x:c>
      <x:c r="F553" s="10" t="n">
        <x:v>24000</x:v>
      </x:c>
      <x:c r="G553" s="8" t="n">
        <x:f>INDEX('Órdenes'!$B$7:$B$334,MATCH(A553,'Órdenes'!$A$7:$A$334,0))</x:f>
        <x:v>46177</x:v>
      </x:c>
      <x:c r="H553" s="11" t="n">
        <x:f>DATE(YEAR(G553),MONTH(G553),1)</x:f>
        <x:v>46174</x:v>
      </x:c>
    </x:row>
    <x:row r="554" ht="23" customHeight="1">
      <x:c r="A554" s="2" t="str">
        <x:v>SIM-202606-003</x:v>
      </x:c>
      <x:c r="B554" s="2" t="str">
        <x:v>Gaseosas</x:v>
      </x:c>
      <x:c r="C554" s="2" t="str">
        <x:v>Coca-Cola</x:v>
      </x:c>
      <x:c r="D554" s="2" t="n">
        <x:v>1</x:v>
      </x:c>
      <x:c r="E554" s="10" t="n">
        <x:v>5000</x:v>
      </x:c>
      <x:c r="F554" s="10" t="n">
        <x:v>5000</x:v>
      </x:c>
      <x:c r="G554" s="8" t="n">
        <x:f>INDEX('Órdenes'!$B$7:$B$334,MATCH(A554,'Órdenes'!$A$7:$A$334,0))</x:f>
        <x:v>46177</x:v>
      </x:c>
      <x:c r="H554" s="11" t="n">
        <x:f>DATE(YEAR(G554),MONTH(G554),1)</x:f>
        <x:v>46174</x:v>
      </x:c>
    </x:row>
    <x:row r="555" ht="23" customHeight="1">
      <x:c r="A555" s="2" t="str">
        <x:v>SIM-202606-004</x:v>
      </x:c>
      <x:c r="B555" s="2" t="str">
        <x:v>Hamburguesa Clásica</x:v>
      </x:c>
      <x:c r="C555" s="2" t="str"/>
      <x:c r="D555" s="2" t="n">
        <x:v>1</x:v>
      </x:c>
      <x:c r="E555" s="10" t="n">
        <x:v>15000</x:v>
      </x:c>
      <x:c r="F555" s="10" t="n">
        <x:v>15000</x:v>
      </x:c>
      <x:c r="G555" s="8" t="n">
        <x:f>INDEX('Órdenes'!$B$7:$B$334,MATCH(A555,'Órdenes'!$A$7:$A$334,0))</x:f>
        <x:v>46177</x:v>
      </x:c>
      <x:c r="H555" s="11" t="n">
        <x:f>DATE(YEAR(G555),MONTH(G555),1)</x:f>
        <x:v>46174</x:v>
      </x:c>
    </x:row>
    <x:row r="556" ht="23" customHeight="1">
      <x:c r="A556" s="2" t="str">
        <x:v>SIM-202606-004</x:v>
      </x:c>
      <x:c r="B556" s="2" t="str">
        <x:v>Salchipapas</x:v>
      </x:c>
      <x:c r="C556" s="2" t="str"/>
      <x:c r="D556" s="2" t="n">
        <x:v>1</x:v>
      </x:c>
      <x:c r="E556" s="10" t="n">
        <x:v>12000</x:v>
      </x:c>
      <x:c r="F556" s="10" t="n">
        <x:v>12000</x:v>
      </x:c>
      <x:c r="G556" s="8" t="n">
        <x:f>INDEX('Órdenes'!$B$7:$B$334,MATCH(A556,'Órdenes'!$A$7:$A$334,0))</x:f>
        <x:v>46177</x:v>
      </x:c>
      <x:c r="H556" s="11" t="n">
        <x:f>DATE(YEAR(G556),MONTH(G556),1)</x:f>
        <x:v>46174</x:v>
      </x:c>
    </x:row>
    <x:row r="557" ht="23" customHeight="1">
      <x:c r="A557" s="2" t="str">
        <x:v>SIM-202606-004</x:v>
      </x:c>
      <x:c r="B557" s="2" t="str">
        <x:v>Gaseosas</x:v>
      </x:c>
      <x:c r="C557" s="2" t="str">
        <x:v>Coca-Cola</x:v>
      </x:c>
      <x:c r="D557" s="2" t="n">
        <x:v>1</x:v>
      </x:c>
      <x:c r="E557" s="10" t="n">
        <x:v>5000</x:v>
      </x:c>
      <x:c r="F557" s="10" t="n">
        <x:v>5000</x:v>
      </x:c>
      <x:c r="G557" s="8" t="n">
        <x:f>INDEX('Órdenes'!$B$7:$B$334,MATCH(A557,'Órdenes'!$A$7:$A$334,0))</x:f>
        <x:v>46177</x:v>
      </x:c>
      <x:c r="H557" s="11" t="n">
        <x:f>DATE(YEAR(G557),MONTH(G557),1)</x:f>
        <x:v>46174</x:v>
      </x:c>
    </x:row>
    <x:row r="558" ht="23" customHeight="1">
      <x:c r="A558" s="2" t="str">
        <x:v>SIM-202606-005</x:v>
      </x:c>
      <x:c r="B558" s="2" t="str">
        <x:v>Hamburguesa Clásica</x:v>
      </x:c>
      <x:c r="C558" s="2" t="str"/>
      <x:c r="D558" s="2" t="n">
        <x:v>1</x:v>
      </x:c>
      <x:c r="E558" s="10" t="n">
        <x:v>15000</x:v>
      </x:c>
      <x:c r="F558" s="10" t="n">
        <x:v>15000</x:v>
      </x:c>
      <x:c r="G558" s="8" t="n">
        <x:f>INDEX('Órdenes'!$B$7:$B$334,MATCH(A558,'Órdenes'!$A$7:$A$334,0))</x:f>
        <x:v>46178</x:v>
      </x:c>
      <x:c r="H558" s="11" t="n">
        <x:f>DATE(YEAR(G558),MONTH(G558),1)</x:f>
        <x:v>46174</x:v>
      </x:c>
    </x:row>
    <x:row r="559" ht="23" customHeight="1">
      <x:c r="A559" s="2" t="str">
        <x:v>SIM-202606-005</x:v>
      </x:c>
      <x:c r="B559" s="2" t="str">
        <x:v>Gaseosas</x:v>
      </x:c>
      <x:c r="C559" s="2" t="str">
        <x:v>Coca-Cola</x:v>
      </x:c>
      <x:c r="D559" s="2" t="n">
        <x:v>1</x:v>
      </x:c>
      <x:c r="E559" s="10" t="n">
        <x:v>5000</x:v>
      </x:c>
      <x:c r="F559" s="10" t="n">
        <x:v>5000</x:v>
      </x:c>
      <x:c r="G559" s="8" t="n">
        <x:f>INDEX('Órdenes'!$B$7:$B$334,MATCH(A559,'Órdenes'!$A$7:$A$334,0))</x:f>
        <x:v>46178</x:v>
      </x:c>
      <x:c r="H559" s="11" t="n">
        <x:f>DATE(YEAR(G559),MONTH(G559),1)</x:f>
        <x:v>46174</x:v>
      </x:c>
    </x:row>
    <x:row r="560" ht="23" customHeight="1">
      <x:c r="A560" s="2" t="str">
        <x:v>SIM-202606-006</x:v>
      </x:c>
      <x:c r="B560" s="2" t="str">
        <x:v>Hamburguesa Clásica</x:v>
      </x:c>
      <x:c r="C560" s="2" t="str"/>
      <x:c r="D560" s="2" t="n">
        <x:v>1</x:v>
      </x:c>
      <x:c r="E560" s="10" t="n">
        <x:v>15000</x:v>
      </x:c>
      <x:c r="F560" s="10" t="n">
        <x:v>15000</x:v>
      </x:c>
      <x:c r="G560" s="8" t="n">
        <x:f>INDEX('Órdenes'!$B$7:$B$334,MATCH(A560,'Órdenes'!$A$7:$A$334,0))</x:f>
        <x:v>46178</x:v>
      </x:c>
      <x:c r="H560" s="11" t="n">
        <x:f>DATE(YEAR(G560),MONTH(G560),1)</x:f>
        <x:v>46174</x:v>
      </x:c>
    </x:row>
    <x:row r="561" ht="23" customHeight="1">
      <x:c r="A561" s="2" t="str">
        <x:v>SIM-202606-006</x:v>
      </x:c>
      <x:c r="B561" s="2" t="str">
        <x:v>Salchipapas</x:v>
      </x:c>
      <x:c r="C561" s="2" t="str"/>
      <x:c r="D561" s="2" t="n">
        <x:v>1</x:v>
      </x:c>
      <x:c r="E561" s="10" t="n">
        <x:v>12000</x:v>
      </x:c>
      <x:c r="F561" s="10" t="n">
        <x:v>12000</x:v>
      </x:c>
      <x:c r="G561" s="8" t="n">
        <x:f>INDEX('Órdenes'!$B$7:$B$334,MATCH(A561,'Órdenes'!$A$7:$A$334,0))</x:f>
        <x:v>46178</x:v>
      </x:c>
      <x:c r="H561" s="11" t="n">
        <x:f>DATE(YEAR(G561),MONTH(G561),1)</x:f>
        <x:v>46174</x:v>
      </x:c>
    </x:row>
    <x:row r="562" ht="23" customHeight="1">
      <x:c r="A562" s="2" t="str">
        <x:v>SIM-202606-006</x:v>
      </x:c>
      <x:c r="B562" s="2" t="str">
        <x:v>Gaseosas</x:v>
      </x:c>
      <x:c r="C562" s="2" t="str">
        <x:v>Coca-Cola</x:v>
      </x:c>
      <x:c r="D562" s="2" t="n">
        <x:v>2</x:v>
      </x:c>
      <x:c r="E562" s="10" t="n">
        <x:v>5000</x:v>
      </x:c>
      <x:c r="F562" s="10" t="n">
        <x:v>10000</x:v>
      </x:c>
      <x:c r="G562" s="8" t="n">
        <x:f>INDEX('Órdenes'!$B$7:$B$334,MATCH(A562,'Órdenes'!$A$7:$A$334,0))</x:f>
        <x:v>46178</x:v>
      </x:c>
      <x:c r="H562" s="11" t="n">
        <x:f>DATE(YEAR(G562),MONTH(G562),1)</x:f>
        <x:v>46174</x:v>
      </x:c>
    </x:row>
    <x:row r="563" ht="23" customHeight="1">
      <x:c r="A563" s="2" t="str">
        <x:v>SIM-202606-007</x:v>
      </x:c>
      <x:c r="B563" s="2" t="str">
        <x:v>Perro caliente</x:v>
      </x:c>
      <x:c r="C563" s="2" t="str"/>
      <x:c r="D563" s="2" t="n">
        <x:v>1</x:v>
      </x:c>
      <x:c r="E563" s="10" t="n">
        <x:v>13000</x:v>
      </x:c>
      <x:c r="F563" s="10" t="n">
        <x:v>13000</x:v>
      </x:c>
      <x:c r="G563" s="8" t="n">
        <x:f>INDEX('Órdenes'!$B$7:$B$334,MATCH(A563,'Órdenes'!$A$7:$A$334,0))</x:f>
        <x:v>46178</x:v>
      </x:c>
      <x:c r="H563" s="11" t="n">
        <x:f>DATE(YEAR(G563),MONTH(G563),1)</x:f>
        <x:v>46174</x:v>
      </x:c>
    </x:row>
    <x:row r="564" ht="23" customHeight="1">
      <x:c r="A564" s="2" t="str">
        <x:v>SIM-202606-007</x:v>
      </x:c>
      <x:c r="B564" s="2" t="str">
        <x:v>Salchipapas</x:v>
      </x:c>
      <x:c r="C564" s="2" t="str"/>
      <x:c r="D564" s="2" t="n">
        <x:v>1</x:v>
      </x:c>
      <x:c r="E564" s="10" t="n">
        <x:v>12000</x:v>
      </x:c>
      <x:c r="F564" s="10" t="n">
        <x:v>12000</x:v>
      </x:c>
      <x:c r="G564" s="8" t="n">
        <x:f>INDEX('Órdenes'!$B$7:$B$334,MATCH(A564,'Órdenes'!$A$7:$A$334,0))</x:f>
        <x:v>46178</x:v>
      </x:c>
      <x:c r="H564" s="11" t="n">
        <x:f>DATE(YEAR(G564),MONTH(G564),1)</x:f>
        <x:v>46174</x:v>
      </x:c>
    </x:row>
    <x:row r="565" ht="23" customHeight="1">
      <x:c r="A565" s="2" t="str">
        <x:v>SIM-202606-007</x:v>
      </x:c>
      <x:c r="B565" s="2" t="str">
        <x:v>Gaseosas</x:v>
      </x:c>
      <x:c r="C565" s="2" t="str">
        <x:v>Coca-Cola</x:v>
      </x:c>
      <x:c r="D565" s="2" t="n">
        <x:v>1</x:v>
      </x:c>
      <x:c r="E565" s="10" t="n">
        <x:v>5000</x:v>
      </x:c>
      <x:c r="F565" s="10" t="n">
        <x:v>5000</x:v>
      </x:c>
      <x:c r="G565" s="8" t="n">
        <x:f>INDEX('Órdenes'!$B$7:$B$334,MATCH(A565,'Órdenes'!$A$7:$A$334,0))</x:f>
        <x:v>46178</x:v>
      </x:c>
      <x:c r="H565" s="11" t="n">
        <x:f>DATE(YEAR(G565),MONTH(G565),1)</x:f>
        <x:v>46174</x:v>
      </x:c>
    </x:row>
    <x:row r="566" ht="23" customHeight="1">
      <x:c r="A566" s="2" t="str">
        <x:v>SIM-202606-008</x:v>
      </x:c>
      <x:c r="B566" s="2" t="str">
        <x:v>Hamburguesa Clásica</x:v>
      </x:c>
      <x:c r="C566" s="2" t="str"/>
      <x:c r="D566" s="2" t="n">
        <x:v>1</x:v>
      </x:c>
      <x:c r="E566" s="10" t="n">
        <x:v>15000</x:v>
      </x:c>
      <x:c r="F566" s="10" t="n">
        <x:v>15000</x:v>
      </x:c>
      <x:c r="G566" s="8" t="n">
        <x:f>INDEX('Órdenes'!$B$7:$B$334,MATCH(A566,'Órdenes'!$A$7:$A$334,0))</x:f>
        <x:v>46179</x:v>
      </x:c>
      <x:c r="H566" s="11" t="n">
        <x:f>DATE(YEAR(G566),MONTH(G566),1)</x:f>
        <x:v>46174</x:v>
      </x:c>
    </x:row>
    <x:row r="567" ht="23" customHeight="1">
      <x:c r="A567" s="2" t="str">
        <x:v>SIM-202606-008</x:v>
      </x:c>
      <x:c r="B567" s="2" t="str">
        <x:v>Gaseosas</x:v>
      </x:c>
      <x:c r="C567" s="2" t="str">
        <x:v>Manzana</x:v>
      </x:c>
      <x:c r="D567" s="2" t="n">
        <x:v>1</x:v>
      </x:c>
      <x:c r="E567" s="10" t="n">
        <x:v>5000</x:v>
      </x:c>
      <x:c r="F567" s="10" t="n">
        <x:v>5000</x:v>
      </x:c>
      <x:c r="G567" s="8" t="n">
        <x:f>INDEX('Órdenes'!$B$7:$B$334,MATCH(A567,'Órdenes'!$A$7:$A$334,0))</x:f>
        <x:v>46179</x:v>
      </x:c>
      <x:c r="H567" s="11" t="n">
        <x:f>DATE(YEAR(G567),MONTH(G567),1)</x:f>
        <x:v>46174</x:v>
      </x:c>
    </x:row>
    <x:row r="568" ht="23" customHeight="1">
      <x:c r="A568" s="2" t="str">
        <x:v>SIM-202606-009</x:v>
      </x:c>
      <x:c r="B568" s="2" t="str">
        <x:v>Hamburguesa Clásica</x:v>
      </x:c>
      <x:c r="C568" s="2" t="str"/>
      <x:c r="D568" s="2" t="n">
        <x:v>1</x:v>
      </x:c>
      <x:c r="E568" s="10" t="n">
        <x:v>15000</x:v>
      </x:c>
      <x:c r="F568" s="10" t="n">
        <x:v>15000</x:v>
      </x:c>
      <x:c r="G568" s="8" t="n">
        <x:f>INDEX('Órdenes'!$B$7:$B$334,MATCH(A568,'Órdenes'!$A$7:$A$334,0))</x:f>
        <x:v>46179</x:v>
      </x:c>
      <x:c r="H568" s="11" t="n">
        <x:f>DATE(YEAR(G568),MONTH(G568),1)</x:f>
        <x:v>46174</x:v>
      </x:c>
    </x:row>
    <x:row r="569" ht="23" customHeight="1">
      <x:c r="A569" s="2" t="str">
        <x:v>SIM-202606-009</x:v>
      </x:c>
      <x:c r="B569" s="2" t="str">
        <x:v>Hamburguesa especial</x:v>
      </x:c>
      <x:c r="C569" s="2" t="str"/>
      <x:c r="D569" s="2" t="n">
        <x:v>1</x:v>
      </x:c>
      <x:c r="E569" s="10" t="n">
        <x:v>20000</x:v>
      </x:c>
      <x:c r="F569" s="10" t="n">
        <x:v>20000</x:v>
      </x:c>
      <x:c r="G569" s="8" t="n">
        <x:f>INDEX('Órdenes'!$B$7:$B$334,MATCH(A569,'Órdenes'!$A$7:$A$334,0))</x:f>
        <x:v>46179</x:v>
      </x:c>
      <x:c r="H569" s="11" t="n">
        <x:f>DATE(YEAR(G569),MONTH(G569),1)</x:f>
        <x:v>46174</x:v>
      </x:c>
    </x:row>
    <x:row r="570" ht="23" customHeight="1">
      <x:c r="A570" s="2" t="str">
        <x:v>SIM-202606-009</x:v>
      </x:c>
      <x:c r="B570" s="2" t="str">
        <x:v>Perro caliente</x:v>
      </x:c>
      <x:c r="C570" s="2" t="str"/>
      <x:c r="D570" s="2" t="n">
        <x:v>1</x:v>
      </x:c>
      <x:c r="E570" s="10" t="n">
        <x:v>13000</x:v>
      </x:c>
      <x:c r="F570" s="10" t="n">
        <x:v>13000</x:v>
      </x:c>
      <x:c r="G570" s="8" t="n">
        <x:f>INDEX('Órdenes'!$B$7:$B$334,MATCH(A570,'Órdenes'!$A$7:$A$334,0))</x:f>
        <x:v>46179</x:v>
      </x:c>
      <x:c r="H570" s="11" t="n">
        <x:f>DATE(YEAR(G570),MONTH(G570),1)</x:f>
        <x:v>46174</x:v>
      </x:c>
    </x:row>
    <x:row r="571" ht="23" customHeight="1">
      <x:c r="A571" s="2" t="str">
        <x:v>SIM-202606-009</x:v>
      </x:c>
      <x:c r="B571" s="2" t="str">
        <x:v>Gaseosas</x:v>
      </x:c>
      <x:c r="C571" s="2" t="str">
        <x:v>Coca-Cola</x:v>
      </x:c>
      <x:c r="D571" s="2" t="n">
        <x:v>1</x:v>
      </x:c>
      <x:c r="E571" s="10" t="n">
        <x:v>5000</x:v>
      </x:c>
      <x:c r="F571" s="10" t="n">
        <x:v>5000</x:v>
      </x:c>
      <x:c r="G571" s="8" t="n">
        <x:f>INDEX('Órdenes'!$B$7:$B$334,MATCH(A571,'Órdenes'!$A$7:$A$334,0))</x:f>
        <x:v>46179</x:v>
      </x:c>
      <x:c r="H571" s="11" t="n">
        <x:f>DATE(YEAR(G571),MONTH(G571),1)</x:f>
        <x:v>46174</x:v>
      </x:c>
    </x:row>
    <x:row r="572" ht="23" customHeight="1">
      <x:c r="A572" s="2" t="str">
        <x:v>SIM-202606-009</x:v>
      </x:c>
      <x:c r="B572" s="2" t="str">
        <x:v>Gaseosas</x:v>
      </x:c>
      <x:c r="C572" s="2" t="str">
        <x:v>Sprite</x:v>
      </x:c>
      <x:c r="D572" s="2" t="n">
        <x:v>2</x:v>
      </x:c>
      <x:c r="E572" s="10" t="n">
        <x:v>5000</x:v>
      </x:c>
      <x:c r="F572" s="10" t="n">
        <x:v>10000</x:v>
      </x:c>
      <x:c r="G572" s="8" t="n">
        <x:f>INDEX('Órdenes'!$B$7:$B$334,MATCH(A572,'Órdenes'!$A$7:$A$334,0))</x:f>
        <x:v>46179</x:v>
      </x:c>
      <x:c r="H572" s="11" t="n">
        <x:f>DATE(YEAR(G572),MONTH(G572),1)</x:f>
        <x:v>46174</x:v>
      </x:c>
    </x:row>
    <x:row r="573" ht="23" customHeight="1">
      <x:c r="A573" s="2" t="str">
        <x:v>SIM-202606-010</x:v>
      </x:c>
      <x:c r="B573" s="2" t="str">
        <x:v>Hamburguesa Clásica</x:v>
      </x:c>
      <x:c r="C573" s="2" t="str"/>
      <x:c r="D573" s="2" t="n">
        <x:v>2</x:v>
      </x:c>
      <x:c r="E573" s="10" t="n">
        <x:v>15000</x:v>
      </x:c>
      <x:c r="F573" s="10" t="n">
        <x:v>30000</x:v>
      </x:c>
      <x:c r="G573" s="8" t="n">
        <x:f>INDEX('Órdenes'!$B$7:$B$334,MATCH(A573,'Órdenes'!$A$7:$A$334,0))</x:f>
        <x:v>46179</x:v>
      </x:c>
      <x:c r="H573" s="11" t="n">
        <x:f>DATE(YEAR(G573),MONTH(G573),1)</x:f>
        <x:v>46174</x:v>
      </x:c>
    </x:row>
    <x:row r="574" ht="23" customHeight="1">
      <x:c r="A574" s="2" t="str">
        <x:v>SIM-202606-010</x:v>
      </x:c>
      <x:c r="B574" s="2" t="str">
        <x:v>Hamburguesa especial</x:v>
      </x:c>
      <x:c r="C574" s="2" t="str"/>
      <x:c r="D574" s="2" t="n">
        <x:v>1</x:v>
      </x:c>
      <x:c r="E574" s="10" t="n">
        <x:v>20000</x:v>
      </x:c>
      <x:c r="F574" s="10" t="n">
        <x:v>20000</x:v>
      </x:c>
      <x:c r="G574" s="8" t="n">
        <x:f>INDEX('Órdenes'!$B$7:$B$334,MATCH(A574,'Órdenes'!$A$7:$A$334,0))</x:f>
        <x:v>46179</x:v>
      </x:c>
      <x:c r="H574" s="11" t="n">
        <x:f>DATE(YEAR(G574),MONTH(G574),1)</x:f>
        <x:v>46174</x:v>
      </x:c>
    </x:row>
    <x:row r="575" ht="23" customHeight="1">
      <x:c r="A575" s="2" t="str">
        <x:v>SIM-202606-010</x:v>
      </x:c>
      <x:c r="B575" s="2" t="str">
        <x:v>Perro caliente</x:v>
      </x:c>
      <x:c r="C575" s="2" t="str"/>
      <x:c r="D575" s="2" t="n">
        <x:v>1</x:v>
      </x:c>
      <x:c r="E575" s="10" t="n">
        <x:v>13000</x:v>
      </x:c>
      <x:c r="F575" s="10" t="n">
        <x:v>13000</x:v>
      </x:c>
      <x:c r="G575" s="8" t="n">
        <x:f>INDEX('Órdenes'!$B$7:$B$334,MATCH(A575,'Órdenes'!$A$7:$A$334,0))</x:f>
        <x:v>46179</x:v>
      </x:c>
      <x:c r="H575" s="11" t="n">
        <x:f>DATE(YEAR(G575),MONTH(G575),1)</x:f>
        <x:v>46174</x:v>
      </x:c>
    </x:row>
    <x:row r="576" ht="23" customHeight="1">
      <x:c r="A576" s="2" t="str">
        <x:v>SIM-202606-010</x:v>
      </x:c>
      <x:c r="B576" s="2" t="str">
        <x:v>Gaseosas</x:v>
      </x:c>
      <x:c r="C576" s="2" t="str">
        <x:v>Coca-Cola</x:v>
      </x:c>
      <x:c r="D576" s="2" t="n">
        <x:v>3</x:v>
      </x:c>
      <x:c r="E576" s="10" t="n">
        <x:v>5000</x:v>
      </x:c>
      <x:c r="F576" s="10" t="n">
        <x:v>15000</x:v>
      </x:c>
      <x:c r="G576" s="8" t="n">
        <x:f>INDEX('Órdenes'!$B$7:$B$334,MATCH(A576,'Órdenes'!$A$7:$A$334,0))</x:f>
        <x:v>46179</x:v>
      </x:c>
      <x:c r="H576" s="11" t="n">
        <x:f>DATE(YEAR(G576),MONTH(G576),1)</x:f>
        <x:v>46174</x:v>
      </x:c>
    </x:row>
    <x:row r="577" ht="23" customHeight="1">
      <x:c r="A577" s="2" t="str">
        <x:v>SIM-202606-010</x:v>
      </x:c>
      <x:c r="B577" s="2" t="str">
        <x:v>Gaseosas</x:v>
      </x:c>
      <x:c r="C577" s="2" t="str">
        <x:v>Sprite</x:v>
      </x:c>
      <x:c r="D577" s="2" t="n">
        <x:v>1</x:v>
      </x:c>
      <x:c r="E577" s="10" t="n">
        <x:v>5000</x:v>
      </x:c>
      <x:c r="F577" s="10" t="n">
        <x:v>5000</x:v>
      </x:c>
      <x:c r="G577" s="8" t="n">
        <x:f>INDEX('Órdenes'!$B$7:$B$334,MATCH(A577,'Órdenes'!$A$7:$A$334,0))</x:f>
        <x:v>46179</x:v>
      </x:c>
      <x:c r="H577" s="11" t="n">
        <x:f>DATE(YEAR(G577),MONTH(G577),1)</x:f>
        <x:v>46174</x:v>
      </x:c>
    </x:row>
    <x:row r="578" ht="23" customHeight="1">
      <x:c r="A578" s="2" t="str">
        <x:v>SIM-202606-011</x:v>
      </x:c>
      <x:c r="B578" s="2" t="str">
        <x:v>Hamburguesa Clásica</x:v>
      </x:c>
      <x:c r="C578" s="2" t="str"/>
      <x:c r="D578" s="2" t="n">
        <x:v>1</x:v>
      </x:c>
      <x:c r="E578" s="10" t="n">
        <x:v>15000</x:v>
      </x:c>
      <x:c r="F578" s="10" t="n">
        <x:v>15000</x:v>
      </x:c>
      <x:c r="G578" s="8" t="n">
        <x:f>INDEX('Órdenes'!$B$7:$B$334,MATCH(A578,'Órdenes'!$A$7:$A$334,0))</x:f>
        <x:v>46179</x:v>
      </x:c>
      <x:c r="H578" s="11" t="n">
        <x:f>DATE(YEAR(G578),MONTH(G578),1)</x:f>
        <x:v>46174</x:v>
      </x:c>
    </x:row>
    <x:row r="579" ht="23" customHeight="1">
      <x:c r="A579" s="2" t="str">
        <x:v>SIM-202606-011</x:v>
      </x:c>
      <x:c r="B579" s="2" t="str">
        <x:v>Gaseosas</x:v>
      </x:c>
      <x:c r="C579" s="2" t="str">
        <x:v>Coca-Cola</x:v>
      </x:c>
      <x:c r="D579" s="2" t="n">
        <x:v>1</x:v>
      </x:c>
      <x:c r="E579" s="10" t="n">
        <x:v>5000</x:v>
      </x:c>
      <x:c r="F579" s="10" t="n">
        <x:v>5000</x:v>
      </x:c>
      <x:c r="G579" s="8" t="n">
        <x:f>INDEX('Órdenes'!$B$7:$B$334,MATCH(A579,'Órdenes'!$A$7:$A$334,0))</x:f>
        <x:v>46179</x:v>
      </x:c>
      <x:c r="H579" s="11" t="n">
        <x:f>DATE(YEAR(G579),MONTH(G579),1)</x:f>
        <x:v>46174</x:v>
      </x:c>
    </x:row>
    <x:row r="580" ht="23" customHeight="1">
      <x:c r="A580" s="2" t="str">
        <x:v>SIM-202606-012</x:v>
      </x:c>
      <x:c r="B580" s="2" t="str">
        <x:v>Hamburguesa Clásica</x:v>
      </x:c>
      <x:c r="C580" s="2" t="str"/>
      <x:c r="D580" s="2" t="n">
        <x:v>1</x:v>
      </x:c>
      <x:c r="E580" s="10" t="n">
        <x:v>15000</x:v>
      </x:c>
      <x:c r="F580" s="10" t="n">
        <x:v>15000</x:v>
      </x:c>
      <x:c r="G580" s="8" t="n">
        <x:f>INDEX('Órdenes'!$B$7:$B$334,MATCH(A580,'Órdenes'!$A$7:$A$334,0))</x:f>
        <x:v>46180</x:v>
      </x:c>
      <x:c r="H580" s="11" t="n">
        <x:f>DATE(YEAR(G580),MONTH(G580),1)</x:f>
        <x:v>46174</x:v>
      </x:c>
    </x:row>
    <x:row r="581" ht="23" customHeight="1">
      <x:c r="A581" s="2" t="str">
        <x:v>SIM-202606-012</x:v>
      </x:c>
      <x:c r="B581" s="2" t="str">
        <x:v>Perro caliente</x:v>
      </x:c>
      <x:c r="C581" s="2" t="str"/>
      <x:c r="D581" s="2" t="n">
        <x:v>1</x:v>
      </x:c>
      <x:c r="E581" s="10" t="n">
        <x:v>13000</x:v>
      </x:c>
      <x:c r="F581" s="10" t="n">
        <x:v>13000</x:v>
      </x:c>
      <x:c r="G581" s="8" t="n">
        <x:f>INDEX('Órdenes'!$B$7:$B$334,MATCH(A581,'Órdenes'!$A$7:$A$334,0))</x:f>
        <x:v>46180</x:v>
      </x:c>
      <x:c r="H581" s="11" t="n">
        <x:f>DATE(YEAR(G581),MONTH(G581),1)</x:f>
        <x:v>46174</x:v>
      </x:c>
    </x:row>
    <x:row r="582" ht="23" customHeight="1">
      <x:c r="A582" s="2" t="str">
        <x:v>SIM-202606-012</x:v>
      </x:c>
      <x:c r="B582" s="2" t="str">
        <x:v>Gaseosas</x:v>
      </x:c>
      <x:c r="C582" s="2" t="str">
        <x:v>Coca-Cola</x:v>
      </x:c>
      <x:c r="D582" s="2" t="n">
        <x:v>1</x:v>
      </x:c>
      <x:c r="E582" s="10" t="n">
        <x:v>5000</x:v>
      </x:c>
      <x:c r="F582" s="10" t="n">
        <x:v>5000</x:v>
      </x:c>
      <x:c r="G582" s="8" t="n">
        <x:f>INDEX('Órdenes'!$B$7:$B$334,MATCH(A582,'Órdenes'!$A$7:$A$334,0))</x:f>
        <x:v>46180</x:v>
      </x:c>
      <x:c r="H582" s="11" t="n">
        <x:f>DATE(YEAR(G582),MONTH(G582),1)</x:f>
        <x:v>46174</x:v>
      </x:c>
    </x:row>
    <x:row r="583" ht="23" customHeight="1">
      <x:c r="A583" s="2" t="str">
        <x:v>SIM-202606-012</x:v>
      </x:c>
      <x:c r="B583" s="2" t="str">
        <x:v>Gaseosas</x:v>
      </x:c>
      <x:c r="C583" s="2" t="str">
        <x:v>Sprite</x:v>
      </x:c>
      <x:c r="D583" s="2" t="n">
        <x:v>1</x:v>
      </x:c>
      <x:c r="E583" s="10" t="n">
        <x:v>5000</x:v>
      </x:c>
      <x:c r="F583" s="10" t="n">
        <x:v>5000</x:v>
      </x:c>
      <x:c r="G583" s="8" t="n">
        <x:f>INDEX('Órdenes'!$B$7:$B$334,MATCH(A583,'Órdenes'!$A$7:$A$334,0))</x:f>
        <x:v>46180</x:v>
      </x:c>
      <x:c r="H583" s="11" t="n">
        <x:f>DATE(YEAR(G583),MONTH(G583),1)</x:f>
        <x:v>46174</x:v>
      </x:c>
    </x:row>
    <x:row r="584" ht="23" customHeight="1">
      <x:c r="A584" s="2" t="str">
        <x:v>SIM-202606-013</x:v>
      </x:c>
      <x:c r="B584" s="2" t="str">
        <x:v>Hamburguesa Clásica</x:v>
      </x:c>
      <x:c r="C584" s="2" t="str"/>
      <x:c r="D584" s="2" t="n">
        <x:v>1</x:v>
      </x:c>
      <x:c r="E584" s="10" t="n">
        <x:v>15000</x:v>
      </x:c>
      <x:c r="F584" s="10" t="n">
        <x:v>15000</x:v>
      </x:c>
      <x:c r="G584" s="8" t="n">
        <x:f>INDEX('Órdenes'!$B$7:$B$334,MATCH(A584,'Órdenes'!$A$7:$A$334,0))</x:f>
        <x:v>46180</x:v>
      </x:c>
      <x:c r="H584" s="11" t="n">
        <x:f>DATE(YEAR(G584),MONTH(G584),1)</x:f>
        <x:v>46174</x:v>
      </x:c>
    </x:row>
    <x:row r="585" ht="23" customHeight="1">
      <x:c r="A585" s="2" t="str">
        <x:v>SIM-202606-013</x:v>
      </x:c>
      <x:c r="B585" s="2" t="str">
        <x:v>Hamburguesa especial</x:v>
      </x:c>
      <x:c r="C585" s="2" t="str"/>
      <x:c r="D585" s="2" t="n">
        <x:v>1</x:v>
      </x:c>
      <x:c r="E585" s="10" t="n">
        <x:v>20000</x:v>
      </x:c>
      <x:c r="F585" s="10" t="n">
        <x:v>20000</x:v>
      </x:c>
      <x:c r="G585" s="8" t="n">
        <x:f>INDEX('Órdenes'!$B$7:$B$334,MATCH(A585,'Órdenes'!$A$7:$A$334,0))</x:f>
        <x:v>46180</x:v>
      </x:c>
      <x:c r="H585" s="11" t="n">
        <x:f>DATE(YEAR(G585),MONTH(G585),1)</x:f>
        <x:v>46174</x:v>
      </x:c>
    </x:row>
    <x:row r="586" ht="23" customHeight="1">
      <x:c r="A586" s="2" t="str">
        <x:v>SIM-202606-013</x:v>
      </x:c>
      <x:c r="B586" s="2" t="str">
        <x:v>Salchipapas</x:v>
      </x:c>
      <x:c r="C586" s="2" t="str"/>
      <x:c r="D586" s="2" t="n">
        <x:v>1</x:v>
      </x:c>
      <x:c r="E586" s="10" t="n">
        <x:v>12000</x:v>
      </x:c>
      <x:c r="F586" s="10" t="n">
        <x:v>12000</x:v>
      </x:c>
      <x:c r="G586" s="8" t="n">
        <x:f>INDEX('Órdenes'!$B$7:$B$334,MATCH(A586,'Órdenes'!$A$7:$A$334,0))</x:f>
        <x:v>46180</x:v>
      </x:c>
      <x:c r="H586" s="11" t="n">
        <x:f>DATE(YEAR(G586),MONTH(G586),1)</x:f>
        <x:v>46174</x:v>
      </x:c>
    </x:row>
    <x:row r="587" ht="23" customHeight="1">
      <x:c r="A587" s="2" t="str">
        <x:v>SIM-202606-013</x:v>
      </x:c>
      <x:c r="B587" s="2" t="str">
        <x:v>Gaseosas</x:v>
      </x:c>
      <x:c r="C587" s="2" t="str">
        <x:v>Coca-Cola</x:v>
      </x:c>
      <x:c r="D587" s="2" t="n">
        <x:v>1</x:v>
      </x:c>
      <x:c r="E587" s="10" t="n">
        <x:v>5000</x:v>
      </x:c>
      <x:c r="F587" s="10" t="n">
        <x:v>5000</x:v>
      </x:c>
      <x:c r="G587" s="8" t="n">
        <x:f>INDEX('Órdenes'!$B$7:$B$334,MATCH(A587,'Órdenes'!$A$7:$A$334,0))</x:f>
        <x:v>46180</x:v>
      </x:c>
      <x:c r="H587" s="11" t="n">
        <x:f>DATE(YEAR(G587),MONTH(G587),1)</x:f>
        <x:v>46174</x:v>
      </x:c>
    </x:row>
    <x:row r="588" ht="23" customHeight="1">
      <x:c r="A588" s="2" t="str">
        <x:v>SIM-202606-013</x:v>
      </x:c>
      <x:c r="B588" s="2" t="str">
        <x:v>Gaseosas</x:v>
      </x:c>
      <x:c r="C588" s="2" t="str">
        <x:v>Manzana</x:v>
      </x:c>
      <x:c r="D588" s="2" t="n">
        <x:v>1</x:v>
      </x:c>
      <x:c r="E588" s="10" t="n">
        <x:v>5000</x:v>
      </x:c>
      <x:c r="F588" s="10" t="n">
        <x:v>5000</x:v>
      </x:c>
      <x:c r="G588" s="8" t="n">
        <x:f>INDEX('Órdenes'!$B$7:$B$334,MATCH(A588,'Órdenes'!$A$7:$A$334,0))</x:f>
        <x:v>46180</x:v>
      </x:c>
      <x:c r="H588" s="11" t="n">
        <x:f>DATE(YEAR(G588),MONTH(G588),1)</x:f>
        <x:v>46174</x:v>
      </x:c>
    </x:row>
    <x:row r="589" ht="23" customHeight="1">
      <x:c r="A589" s="2" t="str">
        <x:v>SIM-202606-013</x:v>
      </x:c>
      <x:c r="B589" s="2" t="str">
        <x:v>Gaseosas</x:v>
      </x:c>
      <x:c r="C589" s="2" t="str">
        <x:v>Sprite</x:v>
      </x:c>
      <x:c r="D589" s="2" t="n">
        <x:v>1</x:v>
      </x:c>
      <x:c r="E589" s="10" t="n">
        <x:v>5000</x:v>
      </x:c>
      <x:c r="F589" s="10" t="n">
        <x:v>5000</x:v>
      </x:c>
      <x:c r="G589" s="8" t="n">
        <x:f>INDEX('Órdenes'!$B$7:$B$334,MATCH(A589,'Órdenes'!$A$7:$A$334,0))</x:f>
        <x:v>46180</x:v>
      </x:c>
      <x:c r="H589" s="11" t="n">
        <x:f>DATE(YEAR(G589),MONTH(G589),1)</x:f>
        <x:v>46174</x:v>
      </x:c>
    </x:row>
    <x:row r="590" ht="23" customHeight="1">
      <x:c r="A590" s="2" t="str">
        <x:v>SIM-202606-014</x:v>
      </x:c>
      <x:c r="B590" s="2" t="str">
        <x:v>Salchipapas</x:v>
      </x:c>
      <x:c r="C590" s="2" t="str"/>
      <x:c r="D590" s="2" t="n">
        <x:v>1</x:v>
      </x:c>
      <x:c r="E590" s="10" t="n">
        <x:v>12000</x:v>
      </x:c>
      <x:c r="F590" s="10" t="n">
        <x:v>12000</x:v>
      </x:c>
      <x:c r="G590" s="8" t="n">
        <x:f>INDEX('Órdenes'!$B$7:$B$334,MATCH(A590,'Órdenes'!$A$7:$A$334,0))</x:f>
        <x:v>46182</x:v>
      </x:c>
      <x:c r="H590" s="11" t="n">
        <x:f>DATE(YEAR(G590),MONTH(G590),1)</x:f>
        <x:v>46174</x:v>
      </x:c>
    </x:row>
    <x:row r="591" ht="23" customHeight="1">
      <x:c r="A591" s="2" t="str">
        <x:v>SIM-202606-014</x:v>
      </x:c>
      <x:c r="B591" s="2" t="str">
        <x:v>Gaseosas</x:v>
      </x:c>
      <x:c r="C591" s="2" t="str">
        <x:v>Sprite</x:v>
      </x:c>
      <x:c r="D591" s="2" t="n">
        <x:v>1</x:v>
      </x:c>
      <x:c r="E591" s="10" t="n">
        <x:v>5000</x:v>
      </x:c>
      <x:c r="F591" s="10" t="n">
        <x:v>5000</x:v>
      </x:c>
      <x:c r="G591" s="8" t="n">
        <x:f>INDEX('Órdenes'!$B$7:$B$334,MATCH(A591,'Órdenes'!$A$7:$A$334,0))</x:f>
        <x:v>46182</x:v>
      </x:c>
      <x:c r="H591" s="11" t="n">
        <x:f>DATE(YEAR(G591),MONTH(G591),1)</x:f>
        <x:v>46174</x:v>
      </x:c>
    </x:row>
    <x:row r="592" ht="23" customHeight="1">
      <x:c r="A592" s="2" t="str">
        <x:v>SIM-202606-015</x:v>
      </x:c>
      <x:c r="B592" s="2" t="str">
        <x:v>Perro caliente</x:v>
      </x:c>
      <x:c r="C592" s="2" t="str"/>
      <x:c r="D592" s="2" t="n">
        <x:v>1</x:v>
      </x:c>
      <x:c r="E592" s="10" t="n">
        <x:v>13000</x:v>
      </x:c>
      <x:c r="F592" s="10" t="n">
        <x:v>13000</x:v>
      </x:c>
      <x:c r="G592" s="8" t="n">
        <x:f>INDEX('Órdenes'!$B$7:$B$334,MATCH(A592,'Órdenes'!$A$7:$A$334,0))</x:f>
        <x:v>46182</x:v>
      </x:c>
      <x:c r="H592" s="11" t="n">
        <x:f>DATE(YEAR(G592),MONTH(G592),1)</x:f>
        <x:v>46174</x:v>
      </x:c>
    </x:row>
    <x:row r="593" ht="23" customHeight="1">
      <x:c r="A593" s="2" t="str">
        <x:v>SIM-202606-015</x:v>
      </x:c>
      <x:c r="B593" s="2" t="str">
        <x:v>Gaseosas</x:v>
      </x:c>
      <x:c r="C593" s="2" t="str">
        <x:v>Coca-Cola</x:v>
      </x:c>
      <x:c r="D593" s="2" t="n">
        <x:v>1</x:v>
      </x:c>
      <x:c r="E593" s="10" t="n">
        <x:v>5000</x:v>
      </x:c>
      <x:c r="F593" s="10" t="n">
        <x:v>5000</x:v>
      </x:c>
      <x:c r="G593" s="8" t="n">
        <x:f>INDEX('Órdenes'!$B$7:$B$334,MATCH(A593,'Órdenes'!$A$7:$A$334,0))</x:f>
        <x:v>46182</x:v>
      </x:c>
      <x:c r="H593" s="11" t="n">
        <x:f>DATE(YEAR(G593),MONTH(G593),1)</x:f>
        <x:v>46174</x:v>
      </x:c>
    </x:row>
    <x:row r="594" ht="23" customHeight="1">
      <x:c r="A594" s="2" t="str">
        <x:v>SIM-202606-016</x:v>
      </x:c>
      <x:c r="B594" s="2" t="str">
        <x:v>Perro caliente</x:v>
      </x:c>
      <x:c r="C594" s="2" t="str"/>
      <x:c r="D594" s="2" t="n">
        <x:v>1</x:v>
      </x:c>
      <x:c r="E594" s="10" t="n">
        <x:v>13000</x:v>
      </x:c>
      <x:c r="F594" s="10" t="n">
        <x:v>13000</x:v>
      </x:c>
      <x:c r="G594" s="8" t="n">
        <x:f>INDEX('Órdenes'!$B$7:$B$334,MATCH(A594,'Órdenes'!$A$7:$A$334,0))</x:f>
        <x:v>46184</x:v>
      </x:c>
      <x:c r="H594" s="11" t="n">
        <x:f>DATE(YEAR(G594),MONTH(G594),1)</x:f>
        <x:v>46174</x:v>
      </x:c>
    </x:row>
    <x:row r="595" ht="23" customHeight="1">
      <x:c r="A595" s="2" t="str">
        <x:v>SIM-202606-016</x:v>
      </x:c>
      <x:c r="B595" s="2" t="str">
        <x:v>Gaseosas</x:v>
      </x:c>
      <x:c r="C595" s="2" t="str">
        <x:v>Coca-Cola</x:v>
      </x:c>
      <x:c r="D595" s="2" t="n">
        <x:v>1</x:v>
      </x:c>
      <x:c r="E595" s="10" t="n">
        <x:v>5000</x:v>
      </x:c>
      <x:c r="F595" s="10" t="n">
        <x:v>5000</x:v>
      </x:c>
      <x:c r="G595" s="8" t="n">
        <x:f>INDEX('Órdenes'!$B$7:$B$334,MATCH(A595,'Órdenes'!$A$7:$A$334,0))</x:f>
        <x:v>46184</x:v>
      </x:c>
      <x:c r="H595" s="11" t="n">
        <x:f>DATE(YEAR(G595),MONTH(G595),1)</x:f>
        <x:v>46174</x:v>
      </x:c>
    </x:row>
    <x:row r="596" ht="23" customHeight="1">
      <x:c r="A596" s="2" t="str">
        <x:v>SIM-202606-017</x:v>
      </x:c>
      <x:c r="B596" s="2" t="str">
        <x:v>Hamburguesa Clásica</x:v>
      </x:c>
      <x:c r="C596" s="2" t="str"/>
      <x:c r="D596" s="2" t="n">
        <x:v>1</x:v>
      </x:c>
      <x:c r="E596" s="10" t="n">
        <x:v>15000</x:v>
      </x:c>
      <x:c r="F596" s="10" t="n">
        <x:v>15000</x:v>
      </x:c>
      <x:c r="G596" s="8" t="n">
        <x:f>INDEX('Órdenes'!$B$7:$B$334,MATCH(A596,'Órdenes'!$A$7:$A$334,0))</x:f>
        <x:v>46184</x:v>
      </x:c>
      <x:c r="H596" s="11" t="n">
        <x:f>DATE(YEAR(G596),MONTH(G596),1)</x:f>
        <x:v>46174</x:v>
      </x:c>
    </x:row>
    <x:row r="597" ht="23" customHeight="1">
      <x:c r="A597" s="2" t="str">
        <x:v>SIM-202606-017</x:v>
      </x:c>
      <x:c r="B597" s="2" t="str">
        <x:v>Hamburguesa especial</x:v>
      </x:c>
      <x:c r="C597" s="2" t="str"/>
      <x:c r="D597" s="2" t="n">
        <x:v>1</x:v>
      </x:c>
      <x:c r="E597" s="10" t="n">
        <x:v>20000</x:v>
      </x:c>
      <x:c r="F597" s="10" t="n">
        <x:v>20000</x:v>
      </x:c>
      <x:c r="G597" s="8" t="n">
        <x:f>INDEX('Órdenes'!$B$7:$B$334,MATCH(A597,'Órdenes'!$A$7:$A$334,0))</x:f>
        <x:v>46184</x:v>
      </x:c>
      <x:c r="H597" s="11" t="n">
        <x:f>DATE(YEAR(G597),MONTH(G597),1)</x:f>
        <x:v>46174</x:v>
      </x:c>
    </x:row>
    <x:row r="598" ht="23" customHeight="1">
      <x:c r="A598" s="2" t="str">
        <x:v>SIM-202606-017</x:v>
      </x:c>
      <x:c r="B598" s="2" t="str">
        <x:v>Gaseosas</x:v>
      </x:c>
      <x:c r="C598" s="2" t="str">
        <x:v>Coca-Cola</x:v>
      </x:c>
      <x:c r="D598" s="2" t="n">
        <x:v>2</x:v>
      </x:c>
      <x:c r="E598" s="10" t="n">
        <x:v>5000</x:v>
      </x:c>
      <x:c r="F598" s="10" t="n">
        <x:v>10000</x:v>
      </x:c>
      <x:c r="G598" s="8" t="n">
        <x:f>INDEX('Órdenes'!$B$7:$B$334,MATCH(A598,'Órdenes'!$A$7:$A$334,0))</x:f>
        <x:v>46184</x:v>
      </x:c>
      <x:c r="H598" s="11" t="n">
        <x:f>DATE(YEAR(G598),MONTH(G598),1)</x:f>
        <x:v>46174</x:v>
      </x:c>
    </x:row>
    <x:row r="599" ht="23" customHeight="1">
      <x:c r="A599" s="2" t="str">
        <x:v>SIM-202606-018</x:v>
      </x:c>
      <x:c r="B599" s="2" t="str">
        <x:v>Hamburguesa Clásica</x:v>
      </x:c>
      <x:c r="C599" s="2" t="str"/>
      <x:c r="D599" s="2" t="n">
        <x:v>1</x:v>
      </x:c>
      <x:c r="E599" s="10" t="n">
        <x:v>15000</x:v>
      </x:c>
      <x:c r="F599" s="10" t="n">
        <x:v>15000</x:v>
      </x:c>
      <x:c r="G599" s="8" t="n">
        <x:f>INDEX('Órdenes'!$B$7:$B$334,MATCH(A599,'Órdenes'!$A$7:$A$334,0))</x:f>
        <x:v>46185</x:v>
      </x:c>
      <x:c r="H599" s="11" t="n">
        <x:f>DATE(YEAR(G599),MONTH(G599),1)</x:f>
        <x:v>46174</x:v>
      </x:c>
    </x:row>
    <x:row r="600" ht="23" customHeight="1">
      <x:c r="A600" s="2" t="str">
        <x:v>SIM-202606-018</x:v>
      </x:c>
      <x:c r="B600" s="2" t="str">
        <x:v>Perro caliente</x:v>
      </x:c>
      <x:c r="C600" s="2" t="str"/>
      <x:c r="D600" s="2" t="n">
        <x:v>1</x:v>
      </x:c>
      <x:c r="E600" s="10" t="n">
        <x:v>13000</x:v>
      </x:c>
      <x:c r="F600" s="10" t="n">
        <x:v>13000</x:v>
      </x:c>
      <x:c r="G600" s="8" t="n">
        <x:f>INDEX('Órdenes'!$B$7:$B$334,MATCH(A600,'Órdenes'!$A$7:$A$334,0))</x:f>
        <x:v>46185</x:v>
      </x:c>
      <x:c r="H600" s="11" t="n">
        <x:f>DATE(YEAR(G600),MONTH(G600),1)</x:f>
        <x:v>46174</x:v>
      </x:c>
    </x:row>
    <x:row r="601" ht="23" customHeight="1">
      <x:c r="A601" s="2" t="str">
        <x:v>SIM-202606-018</x:v>
      </x:c>
      <x:c r="B601" s="2" t="str">
        <x:v>Gaseosas</x:v>
      </x:c>
      <x:c r="C601" s="2" t="str">
        <x:v>Coca-Cola</x:v>
      </x:c>
      <x:c r="D601" s="2" t="n">
        <x:v>1</x:v>
      </x:c>
      <x:c r="E601" s="10" t="n">
        <x:v>5000</x:v>
      </x:c>
      <x:c r="F601" s="10" t="n">
        <x:v>5000</x:v>
      </x:c>
      <x:c r="G601" s="8" t="n">
        <x:f>INDEX('Órdenes'!$B$7:$B$334,MATCH(A601,'Órdenes'!$A$7:$A$334,0))</x:f>
        <x:v>46185</x:v>
      </x:c>
      <x:c r="H601" s="11" t="n">
        <x:f>DATE(YEAR(G601),MONTH(G601),1)</x:f>
        <x:v>46174</x:v>
      </x:c>
    </x:row>
    <x:row r="602" ht="23" customHeight="1">
      <x:c r="A602" s="2" t="str">
        <x:v>SIM-202606-019</x:v>
      </x:c>
      <x:c r="B602" s="2" t="str">
        <x:v>Perro caliente</x:v>
      </x:c>
      <x:c r="C602" s="2" t="str"/>
      <x:c r="D602" s="2" t="n">
        <x:v>2</x:v>
      </x:c>
      <x:c r="E602" s="10" t="n">
        <x:v>13000</x:v>
      </x:c>
      <x:c r="F602" s="10" t="n">
        <x:v>26000</x:v>
      </x:c>
      <x:c r="G602" s="8" t="n">
        <x:f>INDEX('Órdenes'!$B$7:$B$334,MATCH(A602,'Órdenes'!$A$7:$A$334,0))</x:f>
        <x:v>46186</x:v>
      </x:c>
      <x:c r="H602" s="11" t="n">
        <x:f>DATE(YEAR(G602),MONTH(G602),1)</x:f>
        <x:v>46174</x:v>
      </x:c>
    </x:row>
    <x:row r="603" ht="23" customHeight="1">
      <x:c r="A603" s="2" t="str">
        <x:v>SIM-202606-019</x:v>
      </x:c>
      <x:c r="B603" s="2" t="str">
        <x:v>Gaseosas</x:v>
      </x:c>
      <x:c r="C603" s="2" t="str">
        <x:v>Coca-Cola</x:v>
      </x:c>
      <x:c r="D603" s="2" t="n">
        <x:v>1</x:v>
      </x:c>
      <x:c r="E603" s="10" t="n">
        <x:v>5000</x:v>
      </x:c>
      <x:c r="F603" s="10" t="n">
        <x:v>5000</x:v>
      </x:c>
      <x:c r="G603" s="8" t="n">
        <x:f>INDEX('Órdenes'!$B$7:$B$334,MATCH(A603,'Órdenes'!$A$7:$A$334,0))</x:f>
        <x:v>46186</x:v>
      </x:c>
      <x:c r="H603" s="11" t="n">
        <x:f>DATE(YEAR(G603),MONTH(G603),1)</x:f>
        <x:v>46174</x:v>
      </x:c>
    </x:row>
    <x:row r="604" ht="23" customHeight="1">
      <x:c r="A604" s="2" t="str">
        <x:v>SIM-202606-019</x:v>
      </x:c>
      <x:c r="B604" s="2" t="str">
        <x:v>Gaseosas</x:v>
      </x:c>
      <x:c r="C604" s="2" t="str">
        <x:v>Sprite</x:v>
      </x:c>
      <x:c r="D604" s="2" t="n">
        <x:v>1</x:v>
      </x:c>
      <x:c r="E604" s="10" t="n">
        <x:v>5000</x:v>
      </x:c>
      <x:c r="F604" s="10" t="n">
        <x:v>5000</x:v>
      </x:c>
      <x:c r="G604" s="8" t="n">
        <x:f>INDEX('Órdenes'!$B$7:$B$334,MATCH(A604,'Órdenes'!$A$7:$A$334,0))</x:f>
        <x:v>46186</x:v>
      </x:c>
      <x:c r="H604" s="11" t="n">
        <x:f>DATE(YEAR(G604),MONTH(G604),1)</x:f>
        <x:v>46174</x:v>
      </x:c>
    </x:row>
    <x:row r="605" ht="23" customHeight="1">
      <x:c r="A605" s="2" t="str">
        <x:v>SIM-202606-020</x:v>
      </x:c>
      <x:c r="B605" s="2" t="str">
        <x:v>Perro caliente</x:v>
      </x:c>
      <x:c r="C605" s="2" t="str"/>
      <x:c r="D605" s="2" t="n">
        <x:v>1</x:v>
      </x:c>
      <x:c r="E605" s="10" t="n">
        <x:v>13000</x:v>
      </x:c>
      <x:c r="F605" s="10" t="n">
        <x:v>13000</x:v>
      </x:c>
      <x:c r="G605" s="8" t="n">
        <x:f>INDEX('Órdenes'!$B$7:$B$334,MATCH(A605,'Órdenes'!$A$7:$A$334,0))</x:f>
        <x:v>46187</x:v>
      </x:c>
      <x:c r="H605" s="11" t="n">
        <x:f>DATE(YEAR(G605),MONTH(G605),1)</x:f>
        <x:v>46174</x:v>
      </x:c>
    </x:row>
    <x:row r="606" ht="23" customHeight="1">
      <x:c r="A606" s="2" t="str">
        <x:v>SIM-202606-020</x:v>
      </x:c>
      <x:c r="B606" s="2" t="str">
        <x:v>Salchipapas</x:v>
      </x:c>
      <x:c r="C606" s="2" t="str"/>
      <x:c r="D606" s="2" t="n">
        <x:v>2</x:v>
      </x:c>
      <x:c r="E606" s="10" t="n">
        <x:v>12000</x:v>
      </x:c>
      <x:c r="F606" s="10" t="n">
        <x:v>24000</x:v>
      </x:c>
      <x:c r="G606" s="8" t="n">
        <x:f>INDEX('Órdenes'!$B$7:$B$334,MATCH(A606,'Órdenes'!$A$7:$A$334,0))</x:f>
        <x:v>46187</x:v>
      </x:c>
      <x:c r="H606" s="11" t="n">
        <x:f>DATE(YEAR(G606),MONTH(G606),1)</x:f>
        <x:v>46174</x:v>
      </x:c>
    </x:row>
    <x:row r="607" ht="23" customHeight="1">
      <x:c r="A607" s="2" t="str">
        <x:v>SIM-202606-020</x:v>
      </x:c>
      <x:c r="B607" s="2" t="str">
        <x:v>Gaseosas</x:v>
      </x:c>
      <x:c r="C607" s="2" t="str">
        <x:v>Manzana</x:v>
      </x:c>
      <x:c r="D607" s="2" t="n">
        <x:v>1</x:v>
      </x:c>
      <x:c r="E607" s="10" t="n">
        <x:v>5000</x:v>
      </x:c>
      <x:c r="F607" s="10" t="n">
        <x:v>5000</x:v>
      </x:c>
      <x:c r="G607" s="8" t="n">
        <x:f>INDEX('Órdenes'!$B$7:$B$334,MATCH(A607,'Órdenes'!$A$7:$A$334,0))</x:f>
        <x:v>46187</x:v>
      </x:c>
      <x:c r="H607" s="11" t="n">
        <x:f>DATE(YEAR(G607),MONTH(G607),1)</x:f>
        <x:v>46174</x:v>
      </x:c>
    </x:row>
    <x:row r="608" ht="23" customHeight="1">
      <x:c r="A608" s="2" t="str">
        <x:v>SIM-202606-020</x:v>
      </x:c>
      <x:c r="B608" s="2" t="str">
        <x:v>Gaseosas</x:v>
      </x:c>
      <x:c r="C608" s="2" t="str">
        <x:v>Sprite</x:v>
      </x:c>
      <x:c r="D608" s="2" t="n">
        <x:v>1</x:v>
      </x:c>
      <x:c r="E608" s="10" t="n">
        <x:v>5000</x:v>
      </x:c>
      <x:c r="F608" s="10" t="n">
        <x:v>5000</x:v>
      </x:c>
      <x:c r="G608" s="8" t="n">
        <x:f>INDEX('Órdenes'!$B$7:$B$334,MATCH(A608,'Órdenes'!$A$7:$A$334,0))</x:f>
        <x:v>46187</x:v>
      </x:c>
      <x:c r="H608" s="11" t="n">
        <x:f>DATE(YEAR(G608),MONTH(G608),1)</x:f>
        <x:v>46174</x:v>
      </x:c>
    </x:row>
    <x:row r="609" ht="23" customHeight="1">
      <x:c r="A609" s="2" t="str">
        <x:v>SIM-202606-021</x:v>
      </x:c>
      <x:c r="B609" s="2" t="str">
        <x:v>Hamburguesa Clásica</x:v>
      </x:c>
      <x:c r="C609" s="2" t="str"/>
      <x:c r="D609" s="2" t="n">
        <x:v>2</x:v>
      </x:c>
      <x:c r="E609" s="10" t="n">
        <x:v>15000</x:v>
      </x:c>
      <x:c r="F609" s="10" t="n">
        <x:v>30000</x:v>
      </x:c>
      <x:c r="G609" s="8" t="n">
        <x:f>INDEX('Órdenes'!$B$7:$B$334,MATCH(A609,'Órdenes'!$A$7:$A$334,0))</x:f>
        <x:v>46187</x:v>
      </x:c>
      <x:c r="H609" s="11" t="n">
        <x:f>DATE(YEAR(G609),MONTH(G609),1)</x:f>
        <x:v>46174</x:v>
      </x:c>
    </x:row>
    <x:row r="610" ht="23" customHeight="1">
      <x:c r="A610" s="2" t="str">
        <x:v>SIM-202606-021</x:v>
      </x:c>
      <x:c r="B610" s="2" t="str">
        <x:v>Gaseosas</x:v>
      </x:c>
      <x:c r="C610" s="2" t="str">
        <x:v>Coca-Cola</x:v>
      </x:c>
      <x:c r="D610" s="2" t="n">
        <x:v>1</x:v>
      </x:c>
      <x:c r="E610" s="10" t="n">
        <x:v>5000</x:v>
      </x:c>
      <x:c r="F610" s="10" t="n">
        <x:v>5000</x:v>
      </x:c>
      <x:c r="G610" s="8" t="n">
        <x:f>INDEX('Órdenes'!$B$7:$B$334,MATCH(A610,'Órdenes'!$A$7:$A$334,0))</x:f>
        <x:v>46187</x:v>
      </x:c>
      <x:c r="H610" s="11" t="n">
        <x:f>DATE(YEAR(G610),MONTH(G610),1)</x:f>
        <x:v>46174</x:v>
      </x:c>
    </x:row>
    <x:row r="611" ht="23" customHeight="1">
      <x:c r="A611" s="2" t="str">
        <x:v>SIM-202606-021</x:v>
      </x:c>
      <x:c r="B611" s="2" t="str">
        <x:v>Gaseosas</x:v>
      </x:c>
      <x:c r="C611" s="2" t="str">
        <x:v>Sprite</x:v>
      </x:c>
      <x:c r="D611" s="2" t="n">
        <x:v>1</x:v>
      </x:c>
      <x:c r="E611" s="10" t="n">
        <x:v>5000</x:v>
      </x:c>
      <x:c r="F611" s="10" t="n">
        <x:v>5000</x:v>
      </x:c>
      <x:c r="G611" s="8" t="n">
        <x:f>INDEX('Órdenes'!$B$7:$B$334,MATCH(A611,'Órdenes'!$A$7:$A$334,0))</x:f>
        <x:v>46187</x:v>
      </x:c>
      <x:c r="H611" s="11" t="n">
        <x:f>DATE(YEAR(G611),MONTH(G611),1)</x:f>
        <x:v>46174</x:v>
      </x:c>
    </x:row>
    <x:row r="612" ht="23" customHeight="1">
      <x:c r="A612" s="2" t="str">
        <x:v>SIM-202606-022</x:v>
      </x:c>
      <x:c r="B612" s="2" t="str">
        <x:v>Hamburguesa Clásica</x:v>
      </x:c>
      <x:c r="C612" s="2" t="str"/>
      <x:c r="D612" s="2" t="n">
        <x:v>2</x:v>
      </x:c>
      <x:c r="E612" s="10" t="n">
        <x:v>15000</x:v>
      </x:c>
      <x:c r="F612" s="10" t="n">
        <x:v>30000</x:v>
      </x:c>
      <x:c r="G612" s="8" t="n">
        <x:f>INDEX('Órdenes'!$B$7:$B$334,MATCH(A612,'Órdenes'!$A$7:$A$334,0))</x:f>
        <x:v>46187</x:v>
      </x:c>
      <x:c r="H612" s="11" t="n">
        <x:f>DATE(YEAR(G612),MONTH(G612),1)</x:f>
        <x:v>46174</x:v>
      </x:c>
    </x:row>
    <x:row r="613" ht="23" customHeight="1">
      <x:c r="A613" s="2" t="str">
        <x:v>SIM-202606-022</x:v>
      </x:c>
      <x:c r="B613" s="2" t="str">
        <x:v>Gaseosas</x:v>
      </x:c>
      <x:c r="C613" s="2" t="str">
        <x:v>Coca-Cola</x:v>
      </x:c>
      <x:c r="D613" s="2" t="n">
        <x:v>2</x:v>
      </x:c>
      <x:c r="E613" s="10" t="n">
        <x:v>5000</x:v>
      </x:c>
      <x:c r="F613" s="10" t="n">
        <x:v>10000</x:v>
      </x:c>
      <x:c r="G613" s="8" t="n">
        <x:f>INDEX('Órdenes'!$B$7:$B$334,MATCH(A613,'Órdenes'!$A$7:$A$334,0))</x:f>
        <x:v>46187</x:v>
      </x:c>
      <x:c r="H613" s="11" t="n">
        <x:f>DATE(YEAR(G613),MONTH(G613),1)</x:f>
        <x:v>46174</x:v>
      </x:c>
    </x:row>
    <x:row r="614" ht="23" customHeight="1">
      <x:c r="A614" s="2" t="str">
        <x:v>SIM-202606-023</x:v>
      </x:c>
      <x:c r="B614" s="2" t="str">
        <x:v>Hamburguesa Clásica</x:v>
      </x:c>
      <x:c r="C614" s="2" t="str"/>
      <x:c r="D614" s="2" t="n">
        <x:v>1</x:v>
      </x:c>
      <x:c r="E614" s="10" t="n">
        <x:v>15000</x:v>
      </x:c>
      <x:c r="F614" s="10" t="n">
        <x:v>15000</x:v>
      </x:c>
      <x:c r="G614" s="8" t="n">
        <x:f>INDEX('Órdenes'!$B$7:$B$334,MATCH(A614,'Órdenes'!$A$7:$A$334,0))</x:f>
        <x:v>46187</x:v>
      </x:c>
      <x:c r="H614" s="11" t="n">
        <x:f>DATE(YEAR(G614),MONTH(G614),1)</x:f>
        <x:v>46174</x:v>
      </x:c>
    </x:row>
    <x:row r="615" ht="23" customHeight="1">
      <x:c r="A615" s="2" t="str">
        <x:v>SIM-202606-023</x:v>
      </x:c>
      <x:c r="B615" s="2" t="str">
        <x:v>Gaseosas</x:v>
      </x:c>
      <x:c r="C615" s="2" t="str">
        <x:v>Sprite</x:v>
      </x:c>
      <x:c r="D615" s="2" t="n">
        <x:v>1</x:v>
      </x:c>
      <x:c r="E615" s="10" t="n">
        <x:v>5000</x:v>
      </x:c>
      <x:c r="F615" s="10" t="n">
        <x:v>5000</x:v>
      </x:c>
      <x:c r="G615" s="8" t="n">
        <x:f>INDEX('Órdenes'!$B$7:$B$334,MATCH(A615,'Órdenes'!$A$7:$A$334,0))</x:f>
        <x:v>46187</x:v>
      </x:c>
      <x:c r="H615" s="11" t="n">
        <x:f>DATE(YEAR(G615),MONTH(G615),1)</x:f>
        <x:v>46174</x:v>
      </x:c>
    </x:row>
    <x:row r="616" ht="23" customHeight="1">
      <x:c r="A616" s="2" t="str">
        <x:v>SIM-202606-024</x:v>
      </x:c>
      <x:c r="B616" s="2" t="str">
        <x:v>Hamburguesa Clásica</x:v>
      </x:c>
      <x:c r="C616" s="2" t="str"/>
      <x:c r="D616" s="2" t="n">
        <x:v>1</x:v>
      </x:c>
      <x:c r="E616" s="10" t="n">
        <x:v>15000</x:v>
      </x:c>
      <x:c r="F616" s="10" t="n">
        <x:v>15000</x:v>
      </x:c>
      <x:c r="G616" s="8" t="n">
        <x:f>INDEX('Órdenes'!$B$7:$B$334,MATCH(A616,'Órdenes'!$A$7:$A$334,0))</x:f>
        <x:v>46190</x:v>
      </x:c>
      <x:c r="H616" s="11" t="n">
        <x:f>DATE(YEAR(G616),MONTH(G616),1)</x:f>
        <x:v>46174</x:v>
      </x:c>
    </x:row>
    <x:row r="617" ht="23" customHeight="1">
      <x:c r="A617" s="2" t="str">
        <x:v>SIM-202606-024</x:v>
      </x:c>
      <x:c r="B617" s="2" t="str">
        <x:v>Gaseosas</x:v>
      </x:c>
      <x:c r="C617" s="2" t="str">
        <x:v>Sprite</x:v>
      </x:c>
      <x:c r="D617" s="2" t="n">
        <x:v>1</x:v>
      </x:c>
      <x:c r="E617" s="10" t="n">
        <x:v>5000</x:v>
      </x:c>
      <x:c r="F617" s="10" t="n">
        <x:v>5000</x:v>
      </x:c>
      <x:c r="G617" s="8" t="n">
        <x:f>INDEX('Órdenes'!$B$7:$B$334,MATCH(A617,'Órdenes'!$A$7:$A$334,0))</x:f>
        <x:v>46190</x:v>
      </x:c>
      <x:c r="H617" s="11" t="n">
        <x:f>DATE(YEAR(G617),MONTH(G617),1)</x:f>
        <x:v>46174</x:v>
      </x:c>
    </x:row>
    <x:row r="618" ht="23" customHeight="1">
      <x:c r="A618" s="2" t="str">
        <x:v>SIM-202606-025</x:v>
      </x:c>
      <x:c r="B618" s="2" t="str">
        <x:v>Hamburguesa Clásica</x:v>
      </x:c>
      <x:c r="C618" s="2" t="str"/>
      <x:c r="D618" s="2" t="n">
        <x:v>1</x:v>
      </x:c>
      <x:c r="E618" s="10" t="n">
        <x:v>15000</x:v>
      </x:c>
      <x:c r="F618" s="10" t="n">
        <x:v>15000</x:v>
      </x:c>
      <x:c r="G618" s="8" t="n">
        <x:f>INDEX('Órdenes'!$B$7:$B$334,MATCH(A618,'Órdenes'!$A$7:$A$334,0))</x:f>
        <x:v>46191</x:v>
      </x:c>
      <x:c r="H618" s="11" t="n">
        <x:f>DATE(YEAR(G618),MONTH(G618),1)</x:f>
        <x:v>46174</x:v>
      </x:c>
    </x:row>
    <x:row r="619" ht="23" customHeight="1">
      <x:c r="A619" s="2" t="str">
        <x:v>SIM-202606-025</x:v>
      </x:c>
      <x:c r="B619" s="2" t="str">
        <x:v>Gaseosas</x:v>
      </x:c>
      <x:c r="C619" s="2" t="str">
        <x:v>Coca-Cola</x:v>
      </x:c>
      <x:c r="D619" s="2" t="n">
        <x:v>1</x:v>
      </x:c>
      <x:c r="E619" s="10" t="n">
        <x:v>5000</x:v>
      </x:c>
      <x:c r="F619" s="10" t="n">
        <x:v>5000</x:v>
      </x:c>
      <x:c r="G619" s="8" t="n">
        <x:f>INDEX('Órdenes'!$B$7:$B$334,MATCH(A619,'Órdenes'!$A$7:$A$334,0))</x:f>
        <x:v>46191</x:v>
      </x:c>
      <x:c r="H619" s="11" t="n">
        <x:f>DATE(YEAR(G619),MONTH(G619),1)</x:f>
        <x:v>46174</x:v>
      </x:c>
    </x:row>
    <x:row r="620" ht="23" customHeight="1">
      <x:c r="A620" s="2" t="str">
        <x:v>SIM-202606-026</x:v>
      </x:c>
      <x:c r="B620" s="2" t="str">
        <x:v>Hamburguesa Clásica</x:v>
      </x:c>
      <x:c r="C620" s="2" t="str"/>
      <x:c r="D620" s="2" t="n">
        <x:v>2</x:v>
      </x:c>
      <x:c r="E620" s="10" t="n">
        <x:v>15000</x:v>
      </x:c>
      <x:c r="F620" s="10" t="n">
        <x:v>30000</x:v>
      </x:c>
      <x:c r="G620" s="8" t="n">
        <x:f>INDEX('Órdenes'!$B$7:$B$334,MATCH(A620,'Órdenes'!$A$7:$A$334,0))</x:f>
        <x:v>46192</x:v>
      </x:c>
      <x:c r="H620" s="11" t="n">
        <x:f>DATE(YEAR(G620),MONTH(G620),1)</x:f>
        <x:v>46174</x:v>
      </x:c>
    </x:row>
    <x:row r="621" ht="23" customHeight="1">
      <x:c r="A621" s="2" t="str">
        <x:v>SIM-202606-026</x:v>
      </x:c>
      <x:c r="B621" s="2" t="str">
        <x:v>Gaseosas</x:v>
      </x:c>
      <x:c r="C621" s="2" t="str">
        <x:v>Coca-Cola</x:v>
      </x:c>
      <x:c r="D621" s="2" t="n">
        <x:v>1</x:v>
      </x:c>
      <x:c r="E621" s="10" t="n">
        <x:v>5000</x:v>
      </x:c>
      <x:c r="F621" s="10" t="n">
        <x:v>5000</x:v>
      </x:c>
      <x:c r="G621" s="8" t="n">
        <x:f>INDEX('Órdenes'!$B$7:$B$334,MATCH(A621,'Órdenes'!$A$7:$A$334,0))</x:f>
        <x:v>46192</x:v>
      </x:c>
      <x:c r="H621" s="11" t="n">
        <x:f>DATE(YEAR(G621),MONTH(G621),1)</x:f>
        <x:v>46174</x:v>
      </x:c>
    </x:row>
    <x:row r="622" ht="23" customHeight="1">
      <x:c r="A622" s="2" t="str">
        <x:v>SIM-202606-026</x:v>
      </x:c>
      <x:c r="B622" s="2" t="str">
        <x:v>Gaseosas</x:v>
      </x:c>
      <x:c r="C622" s="2" t="str">
        <x:v>Sprite</x:v>
      </x:c>
      <x:c r="D622" s="2" t="n">
        <x:v>1</x:v>
      </x:c>
      <x:c r="E622" s="10" t="n">
        <x:v>5000</x:v>
      </x:c>
      <x:c r="F622" s="10" t="n">
        <x:v>5000</x:v>
      </x:c>
      <x:c r="G622" s="8" t="n">
        <x:f>INDEX('Órdenes'!$B$7:$B$334,MATCH(A622,'Órdenes'!$A$7:$A$334,0))</x:f>
        <x:v>46192</x:v>
      </x:c>
      <x:c r="H622" s="11" t="n">
        <x:f>DATE(YEAR(G622),MONTH(G622),1)</x:f>
        <x:v>46174</x:v>
      </x:c>
    </x:row>
    <x:row r="623" ht="23" customHeight="1">
      <x:c r="A623" s="2" t="str">
        <x:v>SIM-202606-027</x:v>
      </x:c>
      <x:c r="B623" s="2" t="str">
        <x:v>Salchipapas</x:v>
      </x:c>
      <x:c r="C623" s="2" t="str"/>
      <x:c r="D623" s="2" t="n">
        <x:v>1</x:v>
      </x:c>
      <x:c r="E623" s="10" t="n">
        <x:v>12000</x:v>
      </x:c>
      <x:c r="F623" s="10" t="n">
        <x:v>12000</x:v>
      </x:c>
      <x:c r="G623" s="8" t="n">
        <x:f>INDEX('Órdenes'!$B$7:$B$334,MATCH(A623,'Órdenes'!$A$7:$A$334,0))</x:f>
        <x:v>46192</x:v>
      </x:c>
      <x:c r="H623" s="11" t="n">
        <x:f>DATE(YEAR(G623),MONTH(G623),1)</x:f>
        <x:v>46174</x:v>
      </x:c>
    </x:row>
    <x:row r="624" ht="23" customHeight="1">
      <x:c r="A624" s="2" t="str">
        <x:v>SIM-202606-027</x:v>
      </x:c>
      <x:c r="B624" s="2" t="str">
        <x:v>Gaseosas</x:v>
      </x:c>
      <x:c r="C624" s="2" t="str">
        <x:v>Sprite</x:v>
      </x:c>
      <x:c r="D624" s="2" t="n">
        <x:v>1</x:v>
      </x:c>
      <x:c r="E624" s="10" t="n">
        <x:v>5000</x:v>
      </x:c>
      <x:c r="F624" s="10" t="n">
        <x:v>5000</x:v>
      </x:c>
      <x:c r="G624" s="8" t="n">
        <x:f>INDEX('Órdenes'!$B$7:$B$334,MATCH(A624,'Órdenes'!$A$7:$A$334,0))</x:f>
        <x:v>46192</x:v>
      </x:c>
      <x:c r="H624" s="11" t="n">
        <x:f>DATE(YEAR(G624),MONTH(G624),1)</x:f>
        <x:v>46174</x:v>
      </x:c>
    </x:row>
    <x:row r="625" ht="23" customHeight="1">
      <x:c r="A625" s="2" t="str">
        <x:v>SIM-202606-028</x:v>
      </x:c>
      <x:c r="B625" s="2" t="str">
        <x:v>Hamburguesa Clásica</x:v>
      </x:c>
      <x:c r="C625" s="2" t="str"/>
      <x:c r="D625" s="2" t="n">
        <x:v>1</x:v>
      </x:c>
      <x:c r="E625" s="10" t="n">
        <x:v>15000</x:v>
      </x:c>
      <x:c r="F625" s="10" t="n">
        <x:v>15000</x:v>
      </x:c>
      <x:c r="G625" s="8" t="n">
        <x:f>INDEX('Órdenes'!$B$7:$B$334,MATCH(A625,'Órdenes'!$A$7:$A$334,0))</x:f>
        <x:v>46192</x:v>
      </x:c>
      <x:c r="H625" s="11" t="n">
        <x:f>DATE(YEAR(G625),MONTH(G625),1)</x:f>
        <x:v>46174</x:v>
      </x:c>
    </x:row>
    <x:row r="626" ht="23" customHeight="1">
      <x:c r="A626" s="2" t="str">
        <x:v>SIM-202606-028</x:v>
      </x:c>
      <x:c r="B626" s="2" t="str">
        <x:v>Salchipapas</x:v>
      </x:c>
      <x:c r="C626" s="2" t="str"/>
      <x:c r="D626" s="2" t="n">
        <x:v>2</x:v>
      </x:c>
      <x:c r="E626" s="10" t="n">
        <x:v>12000</x:v>
      </x:c>
      <x:c r="F626" s="10" t="n">
        <x:v>24000</x:v>
      </x:c>
      <x:c r="G626" s="8" t="n">
        <x:f>INDEX('Órdenes'!$B$7:$B$334,MATCH(A626,'Órdenes'!$A$7:$A$334,0))</x:f>
        <x:v>46192</x:v>
      </x:c>
      <x:c r="H626" s="11" t="n">
        <x:f>DATE(YEAR(G626),MONTH(G626),1)</x:f>
        <x:v>46174</x:v>
      </x:c>
    </x:row>
    <x:row r="627" ht="23" customHeight="1">
      <x:c r="A627" s="2" t="str">
        <x:v>SIM-202606-028</x:v>
      </x:c>
      <x:c r="B627" s="2" t="str">
        <x:v>Gaseosas</x:v>
      </x:c>
      <x:c r="C627" s="2" t="str">
        <x:v>Coca-Cola</x:v>
      </x:c>
      <x:c r="D627" s="2" t="n">
        <x:v>1</x:v>
      </x:c>
      <x:c r="E627" s="10" t="n">
        <x:v>5000</x:v>
      </x:c>
      <x:c r="F627" s="10" t="n">
        <x:v>5000</x:v>
      </x:c>
      <x:c r="G627" s="8" t="n">
        <x:f>INDEX('Órdenes'!$B$7:$B$334,MATCH(A627,'Órdenes'!$A$7:$A$334,0))</x:f>
        <x:v>46192</x:v>
      </x:c>
      <x:c r="H627" s="11" t="n">
        <x:f>DATE(YEAR(G627),MONTH(G627),1)</x:f>
        <x:v>46174</x:v>
      </x:c>
    </x:row>
    <x:row r="628" ht="23" customHeight="1">
      <x:c r="A628" s="2" t="str">
        <x:v>SIM-202606-028</x:v>
      </x:c>
      <x:c r="B628" s="2" t="str">
        <x:v>Gaseosas</x:v>
      </x:c>
      <x:c r="C628" s="2" t="str">
        <x:v>Sprite</x:v>
      </x:c>
      <x:c r="D628" s="2" t="n">
        <x:v>1</x:v>
      </x:c>
      <x:c r="E628" s="10" t="n">
        <x:v>5000</x:v>
      </x:c>
      <x:c r="F628" s="10" t="n">
        <x:v>5000</x:v>
      </x:c>
      <x:c r="G628" s="8" t="n">
        <x:f>INDEX('Órdenes'!$B$7:$B$334,MATCH(A628,'Órdenes'!$A$7:$A$334,0))</x:f>
        <x:v>46192</x:v>
      </x:c>
      <x:c r="H628" s="11" t="n">
        <x:f>DATE(YEAR(G628),MONTH(G628),1)</x:f>
        <x:v>46174</x:v>
      </x:c>
    </x:row>
    <x:row r="629" ht="23" customHeight="1">
      <x:c r="A629" s="2" t="str">
        <x:v>SIM-202606-029</x:v>
      </x:c>
      <x:c r="B629" s="2" t="str">
        <x:v>Hamburguesa especial</x:v>
      </x:c>
      <x:c r="C629" s="2" t="str"/>
      <x:c r="D629" s="2" t="n">
        <x:v>1</x:v>
      </x:c>
      <x:c r="E629" s="10" t="n">
        <x:v>20000</x:v>
      </x:c>
      <x:c r="F629" s="10" t="n">
        <x:v>20000</x:v>
      </x:c>
      <x:c r="G629" s="8" t="n">
        <x:f>INDEX('Órdenes'!$B$7:$B$334,MATCH(A629,'Órdenes'!$A$7:$A$334,0))</x:f>
        <x:v>46192</x:v>
      </x:c>
      <x:c r="H629" s="11" t="n">
        <x:f>DATE(YEAR(G629),MONTH(G629),1)</x:f>
        <x:v>46174</x:v>
      </x:c>
    </x:row>
    <x:row r="630" ht="23" customHeight="1">
      <x:c r="A630" s="2" t="str">
        <x:v>SIM-202606-029</x:v>
      </x:c>
      <x:c r="B630" s="2" t="str">
        <x:v>Gaseosas</x:v>
      </x:c>
      <x:c r="C630" s="2" t="str">
        <x:v>Coca-Cola</x:v>
      </x:c>
      <x:c r="D630" s="2" t="n">
        <x:v>1</x:v>
      </x:c>
      <x:c r="E630" s="10" t="n">
        <x:v>5000</x:v>
      </x:c>
      <x:c r="F630" s="10" t="n">
        <x:v>5000</x:v>
      </x:c>
      <x:c r="G630" s="8" t="n">
        <x:f>INDEX('Órdenes'!$B$7:$B$334,MATCH(A630,'Órdenes'!$A$7:$A$334,0))</x:f>
        <x:v>46192</x:v>
      </x:c>
      <x:c r="H630" s="11" t="n">
        <x:f>DATE(YEAR(G630),MONTH(G630),1)</x:f>
        <x:v>46174</x:v>
      </x:c>
    </x:row>
    <x:row r="631" ht="23" customHeight="1">
      <x:c r="A631" s="2" t="str">
        <x:v>SIM-202606-030</x:v>
      </x:c>
      <x:c r="B631" s="2" t="str">
        <x:v>Perro caliente</x:v>
      </x:c>
      <x:c r="C631" s="2" t="str"/>
      <x:c r="D631" s="2" t="n">
        <x:v>1</x:v>
      </x:c>
      <x:c r="E631" s="10" t="n">
        <x:v>13000</x:v>
      </x:c>
      <x:c r="F631" s="10" t="n">
        <x:v>13000</x:v>
      </x:c>
      <x:c r="G631" s="8" t="n">
        <x:f>INDEX('Órdenes'!$B$7:$B$334,MATCH(A631,'Órdenes'!$A$7:$A$334,0))</x:f>
        <x:v>46192</x:v>
      </x:c>
      <x:c r="H631" s="11" t="n">
        <x:f>DATE(YEAR(G631),MONTH(G631),1)</x:f>
        <x:v>46174</x:v>
      </x:c>
    </x:row>
    <x:row r="632" ht="23" customHeight="1">
      <x:c r="A632" s="2" t="str">
        <x:v>SIM-202606-030</x:v>
      </x:c>
      <x:c r="B632" s="2" t="str">
        <x:v>Gaseosas</x:v>
      </x:c>
      <x:c r="C632" s="2" t="str">
        <x:v>Manzana</x:v>
      </x:c>
      <x:c r="D632" s="2" t="n">
        <x:v>1</x:v>
      </x:c>
      <x:c r="E632" s="10" t="n">
        <x:v>5000</x:v>
      </x:c>
      <x:c r="F632" s="10" t="n">
        <x:v>5000</x:v>
      </x:c>
      <x:c r="G632" s="8" t="n">
        <x:f>INDEX('Órdenes'!$B$7:$B$334,MATCH(A632,'Órdenes'!$A$7:$A$334,0))</x:f>
        <x:v>46192</x:v>
      </x:c>
      <x:c r="H632" s="11" t="n">
        <x:f>DATE(YEAR(G632),MONTH(G632),1)</x:f>
        <x:v>46174</x:v>
      </x:c>
    </x:row>
    <x:row r="633" ht="23" customHeight="1">
      <x:c r="A633" s="2" t="str">
        <x:v>SIM-202606-031</x:v>
      </x:c>
      <x:c r="B633" s="2" t="str">
        <x:v>Hamburguesa Clásica</x:v>
      </x:c>
      <x:c r="C633" s="2" t="str"/>
      <x:c r="D633" s="2" t="n">
        <x:v>1</x:v>
      </x:c>
      <x:c r="E633" s="10" t="n">
        <x:v>15000</x:v>
      </x:c>
      <x:c r="F633" s="10" t="n">
        <x:v>15000</x:v>
      </x:c>
      <x:c r="G633" s="8" t="n">
        <x:f>INDEX('Órdenes'!$B$7:$B$334,MATCH(A633,'Órdenes'!$A$7:$A$334,0))</x:f>
        <x:v>46193</x:v>
      </x:c>
      <x:c r="H633" s="11" t="n">
        <x:f>DATE(YEAR(G633),MONTH(G633),1)</x:f>
        <x:v>46174</x:v>
      </x:c>
    </x:row>
    <x:row r="634" ht="23" customHeight="1">
      <x:c r="A634" s="2" t="str">
        <x:v>SIM-202606-031</x:v>
      </x:c>
      <x:c r="B634" s="2" t="str">
        <x:v>Hamburguesa especial</x:v>
      </x:c>
      <x:c r="C634" s="2" t="str"/>
      <x:c r="D634" s="2" t="n">
        <x:v>1</x:v>
      </x:c>
      <x:c r="E634" s="10" t="n">
        <x:v>20000</x:v>
      </x:c>
      <x:c r="F634" s="10" t="n">
        <x:v>20000</x:v>
      </x:c>
      <x:c r="G634" s="8" t="n">
        <x:f>INDEX('Órdenes'!$B$7:$B$334,MATCH(A634,'Órdenes'!$A$7:$A$334,0))</x:f>
        <x:v>46193</x:v>
      </x:c>
      <x:c r="H634" s="11" t="n">
        <x:f>DATE(YEAR(G634),MONTH(G634),1)</x:f>
        <x:v>46174</x:v>
      </x:c>
    </x:row>
    <x:row r="635" ht="23" customHeight="1">
      <x:c r="A635" s="2" t="str">
        <x:v>SIM-202606-031</x:v>
      </x:c>
      <x:c r="B635" s="2" t="str">
        <x:v>Gaseosas</x:v>
      </x:c>
      <x:c r="C635" s="2" t="str">
        <x:v>Coca-Cola</x:v>
      </x:c>
      <x:c r="D635" s="2" t="n">
        <x:v>2</x:v>
      </x:c>
      <x:c r="E635" s="10" t="n">
        <x:v>5000</x:v>
      </x:c>
      <x:c r="F635" s="10" t="n">
        <x:v>10000</x:v>
      </x:c>
      <x:c r="G635" s="8" t="n">
        <x:f>INDEX('Órdenes'!$B$7:$B$334,MATCH(A635,'Órdenes'!$A$7:$A$334,0))</x:f>
        <x:v>46193</x:v>
      </x:c>
      <x:c r="H635" s="11" t="n">
        <x:f>DATE(YEAR(G635),MONTH(G635),1)</x:f>
        <x:v>46174</x:v>
      </x:c>
    </x:row>
    <x:row r="636" ht="23" customHeight="1">
      <x:c r="A636" s="2" t="str">
        <x:v>SIM-202606-032</x:v>
      </x:c>
      <x:c r="B636" s="2" t="str">
        <x:v>Perro caliente</x:v>
      </x:c>
      <x:c r="C636" s="2" t="str"/>
      <x:c r="D636" s="2" t="n">
        <x:v>1</x:v>
      </x:c>
      <x:c r="E636" s="10" t="n">
        <x:v>13000</x:v>
      </x:c>
      <x:c r="F636" s="10" t="n">
        <x:v>13000</x:v>
      </x:c>
      <x:c r="G636" s="8" t="n">
        <x:f>INDEX('Órdenes'!$B$7:$B$334,MATCH(A636,'Órdenes'!$A$7:$A$334,0))</x:f>
        <x:v>46193</x:v>
      </x:c>
      <x:c r="H636" s="11" t="n">
        <x:f>DATE(YEAR(G636),MONTH(G636),1)</x:f>
        <x:v>46174</x:v>
      </x:c>
    </x:row>
    <x:row r="637" ht="23" customHeight="1">
      <x:c r="A637" s="2" t="str">
        <x:v>SIM-202606-033</x:v>
      </x:c>
      <x:c r="B637" s="2" t="str">
        <x:v>Hamburguesa especial</x:v>
      </x:c>
      <x:c r="C637" s="2" t="str"/>
      <x:c r="D637" s="2" t="n">
        <x:v>1</x:v>
      </x:c>
      <x:c r="E637" s="10" t="n">
        <x:v>20000</x:v>
      </x:c>
      <x:c r="F637" s="10" t="n">
        <x:v>20000</x:v>
      </x:c>
      <x:c r="G637" s="8" t="n">
        <x:f>INDEX('Órdenes'!$B$7:$B$334,MATCH(A637,'Órdenes'!$A$7:$A$334,0))</x:f>
        <x:v>46193</x:v>
      </x:c>
      <x:c r="H637" s="11" t="n">
        <x:f>DATE(YEAR(G637),MONTH(G637),1)</x:f>
        <x:v>46174</x:v>
      </x:c>
    </x:row>
    <x:row r="638" ht="23" customHeight="1">
      <x:c r="A638" s="2" t="str">
        <x:v>SIM-202606-033</x:v>
      </x:c>
      <x:c r="B638" s="2" t="str">
        <x:v>Salchipapas</x:v>
      </x:c>
      <x:c r="C638" s="2" t="str"/>
      <x:c r="D638" s="2" t="n">
        <x:v>1</x:v>
      </x:c>
      <x:c r="E638" s="10" t="n">
        <x:v>12000</x:v>
      </x:c>
      <x:c r="F638" s="10" t="n">
        <x:v>12000</x:v>
      </x:c>
      <x:c r="G638" s="8" t="n">
        <x:f>INDEX('Órdenes'!$B$7:$B$334,MATCH(A638,'Órdenes'!$A$7:$A$334,0))</x:f>
        <x:v>46193</x:v>
      </x:c>
      <x:c r="H638" s="11" t="n">
        <x:f>DATE(YEAR(G638),MONTH(G638),1)</x:f>
        <x:v>46174</x:v>
      </x:c>
    </x:row>
    <x:row r="639" ht="23" customHeight="1">
      <x:c r="A639" s="2" t="str">
        <x:v>SIM-202606-033</x:v>
      </x:c>
      <x:c r="B639" s="2" t="str">
        <x:v>Gaseosas</x:v>
      </x:c>
      <x:c r="C639" s="2" t="str">
        <x:v>Coca-Cola</x:v>
      </x:c>
      <x:c r="D639" s="2" t="n">
        <x:v>1</x:v>
      </x:c>
      <x:c r="E639" s="10" t="n">
        <x:v>5000</x:v>
      </x:c>
      <x:c r="F639" s="10" t="n">
        <x:v>5000</x:v>
      </x:c>
      <x:c r="G639" s="8" t="n">
        <x:f>INDEX('Órdenes'!$B$7:$B$334,MATCH(A639,'Órdenes'!$A$7:$A$334,0))</x:f>
        <x:v>46193</x:v>
      </x:c>
      <x:c r="H639" s="11" t="n">
        <x:f>DATE(YEAR(G639),MONTH(G639),1)</x:f>
        <x:v>46174</x:v>
      </x:c>
    </x:row>
    <x:row r="640" ht="23" customHeight="1">
      <x:c r="A640" s="2" t="str">
        <x:v>SIM-202606-034</x:v>
      </x:c>
      <x:c r="B640" s="2" t="str">
        <x:v>Hamburguesa especial</x:v>
      </x:c>
      <x:c r="C640" s="2" t="str"/>
      <x:c r="D640" s="2" t="n">
        <x:v>1</x:v>
      </x:c>
      <x:c r="E640" s="10" t="n">
        <x:v>20000</x:v>
      </x:c>
      <x:c r="F640" s="10" t="n">
        <x:v>20000</x:v>
      </x:c>
      <x:c r="G640" s="8" t="n">
        <x:f>INDEX('Órdenes'!$B$7:$B$334,MATCH(A640,'Órdenes'!$A$7:$A$334,0))</x:f>
        <x:v>46193</x:v>
      </x:c>
      <x:c r="H640" s="11" t="n">
        <x:f>DATE(YEAR(G640),MONTH(G640),1)</x:f>
        <x:v>46174</x:v>
      </x:c>
    </x:row>
    <x:row r="641" ht="23" customHeight="1">
      <x:c r="A641" s="2" t="str">
        <x:v>SIM-202606-034</x:v>
      </x:c>
      <x:c r="B641" s="2" t="str">
        <x:v>Gaseosas</x:v>
      </x:c>
      <x:c r="C641" s="2" t="str">
        <x:v>Sprite</x:v>
      </x:c>
      <x:c r="D641" s="2" t="n">
        <x:v>1</x:v>
      </x:c>
      <x:c r="E641" s="10" t="n">
        <x:v>5000</x:v>
      </x:c>
      <x:c r="F641" s="10" t="n">
        <x:v>5000</x:v>
      </x:c>
      <x:c r="G641" s="8" t="n">
        <x:f>INDEX('Órdenes'!$B$7:$B$334,MATCH(A641,'Órdenes'!$A$7:$A$334,0))</x:f>
        <x:v>46193</x:v>
      </x:c>
      <x:c r="H641" s="11" t="n">
        <x:f>DATE(YEAR(G641),MONTH(G641),1)</x:f>
        <x:v>46174</x:v>
      </x:c>
    </x:row>
    <x:row r="642" ht="23" customHeight="1">
      <x:c r="A642" s="2" t="str">
        <x:v>SIM-202606-035</x:v>
      </x:c>
      <x:c r="B642" s="2" t="str">
        <x:v>Hamburguesa Clásica</x:v>
      </x:c>
      <x:c r="C642" s="2" t="str"/>
      <x:c r="D642" s="2" t="n">
        <x:v>2</x:v>
      </x:c>
      <x:c r="E642" s="10" t="n">
        <x:v>15000</x:v>
      </x:c>
      <x:c r="F642" s="10" t="n">
        <x:v>30000</x:v>
      </x:c>
      <x:c r="G642" s="8" t="n">
        <x:f>INDEX('Órdenes'!$B$7:$B$334,MATCH(A642,'Órdenes'!$A$7:$A$334,0))</x:f>
        <x:v>46194</x:v>
      </x:c>
      <x:c r="H642" s="11" t="n">
        <x:f>DATE(YEAR(G642),MONTH(G642),1)</x:f>
        <x:v>46174</x:v>
      </x:c>
    </x:row>
    <x:row r="643" ht="23" customHeight="1">
      <x:c r="A643" s="2" t="str">
        <x:v>SIM-202606-035</x:v>
      </x:c>
      <x:c r="B643" s="2" t="str">
        <x:v>Gaseosas</x:v>
      </x:c>
      <x:c r="C643" s="2" t="str">
        <x:v>Coca-Cola</x:v>
      </x:c>
      <x:c r="D643" s="2" t="n">
        <x:v>1</x:v>
      </x:c>
      <x:c r="E643" s="10" t="n">
        <x:v>5000</x:v>
      </x:c>
      <x:c r="F643" s="10" t="n">
        <x:v>5000</x:v>
      </x:c>
      <x:c r="G643" s="8" t="n">
        <x:f>INDEX('Órdenes'!$B$7:$B$334,MATCH(A643,'Órdenes'!$A$7:$A$334,0))</x:f>
        <x:v>46194</x:v>
      </x:c>
      <x:c r="H643" s="11" t="n">
        <x:f>DATE(YEAR(G643),MONTH(G643),1)</x:f>
        <x:v>46174</x:v>
      </x:c>
    </x:row>
    <x:row r="644" ht="23" customHeight="1">
      <x:c r="A644" s="2" t="str">
        <x:v>SIM-202606-035</x:v>
      </x:c>
      <x:c r="B644" s="2" t="str">
        <x:v>Gaseosas</x:v>
      </x:c>
      <x:c r="C644" s="2" t="str">
        <x:v>Sprite</x:v>
      </x:c>
      <x:c r="D644" s="2" t="n">
        <x:v>1</x:v>
      </x:c>
      <x:c r="E644" s="10" t="n">
        <x:v>5000</x:v>
      </x:c>
      <x:c r="F644" s="10" t="n">
        <x:v>5000</x:v>
      </x:c>
      <x:c r="G644" s="8" t="n">
        <x:f>INDEX('Órdenes'!$B$7:$B$334,MATCH(A644,'Órdenes'!$A$7:$A$334,0))</x:f>
        <x:v>46194</x:v>
      </x:c>
      <x:c r="H644" s="11" t="n">
        <x:f>DATE(YEAR(G644),MONTH(G644),1)</x:f>
        <x:v>46174</x:v>
      </x:c>
    </x:row>
    <x:row r="645" ht="23" customHeight="1">
      <x:c r="A645" s="2" t="str">
        <x:v>SIM-202606-036</x:v>
      </x:c>
      <x:c r="B645" s="2" t="str">
        <x:v>Hamburguesa especial</x:v>
      </x:c>
      <x:c r="C645" s="2" t="str"/>
      <x:c r="D645" s="2" t="n">
        <x:v>2</x:v>
      </x:c>
      <x:c r="E645" s="10" t="n">
        <x:v>20000</x:v>
      </x:c>
      <x:c r="F645" s="10" t="n">
        <x:v>40000</x:v>
      </x:c>
      <x:c r="G645" s="8" t="n">
        <x:f>INDEX('Órdenes'!$B$7:$B$334,MATCH(A645,'Órdenes'!$A$7:$A$334,0))</x:f>
        <x:v>46194</x:v>
      </x:c>
      <x:c r="H645" s="11" t="n">
        <x:f>DATE(YEAR(G645),MONTH(G645),1)</x:f>
        <x:v>46174</x:v>
      </x:c>
    </x:row>
    <x:row r="646" ht="23" customHeight="1">
      <x:c r="A646" s="2" t="str">
        <x:v>SIM-202606-036</x:v>
      </x:c>
      <x:c r="B646" s="2" t="str">
        <x:v>Gaseosas</x:v>
      </x:c>
      <x:c r="C646" s="2" t="str">
        <x:v>Coca-Cola</x:v>
      </x:c>
      <x:c r="D646" s="2" t="n">
        <x:v>1</x:v>
      </x:c>
      <x:c r="E646" s="10" t="n">
        <x:v>5000</x:v>
      </x:c>
      <x:c r="F646" s="10" t="n">
        <x:v>5000</x:v>
      </x:c>
      <x:c r="G646" s="8" t="n">
        <x:f>INDEX('Órdenes'!$B$7:$B$334,MATCH(A646,'Órdenes'!$A$7:$A$334,0))</x:f>
        <x:v>46194</x:v>
      </x:c>
      <x:c r="H646" s="11" t="n">
        <x:f>DATE(YEAR(G646),MONTH(G646),1)</x:f>
        <x:v>46174</x:v>
      </x:c>
    </x:row>
    <x:row r="647" ht="23" customHeight="1">
      <x:c r="A647" s="2" t="str">
        <x:v>SIM-202606-036</x:v>
      </x:c>
      <x:c r="B647" s="2" t="str">
        <x:v>Gaseosas</x:v>
      </x:c>
      <x:c r="C647" s="2" t="str">
        <x:v>Manzana</x:v>
      </x:c>
      <x:c r="D647" s="2" t="n">
        <x:v>1</x:v>
      </x:c>
      <x:c r="E647" s="10" t="n">
        <x:v>5000</x:v>
      </x:c>
      <x:c r="F647" s="10" t="n">
        <x:v>5000</x:v>
      </x:c>
      <x:c r="G647" s="8" t="n">
        <x:f>INDEX('Órdenes'!$B$7:$B$334,MATCH(A647,'Órdenes'!$A$7:$A$334,0))</x:f>
        <x:v>46194</x:v>
      </x:c>
      <x:c r="H647" s="11" t="n">
        <x:f>DATE(YEAR(G647),MONTH(G647),1)</x:f>
        <x:v>46174</x:v>
      </x:c>
    </x:row>
    <x:row r="648" ht="23" customHeight="1">
      <x:c r="A648" s="2" t="str">
        <x:v>SIM-202606-037</x:v>
      </x:c>
      <x:c r="B648" s="2" t="str">
        <x:v>Hamburguesa Clásica</x:v>
      </x:c>
      <x:c r="C648" s="2" t="str"/>
      <x:c r="D648" s="2" t="n">
        <x:v>1</x:v>
      </x:c>
      <x:c r="E648" s="10" t="n">
        <x:v>15000</x:v>
      </x:c>
      <x:c r="F648" s="10" t="n">
        <x:v>15000</x:v>
      </x:c>
      <x:c r="G648" s="8" t="n">
        <x:f>INDEX('Órdenes'!$B$7:$B$334,MATCH(A648,'Órdenes'!$A$7:$A$334,0))</x:f>
        <x:v>46196</x:v>
      </x:c>
      <x:c r="H648" s="11" t="n">
        <x:f>DATE(YEAR(G648),MONTH(G648),1)</x:f>
        <x:v>46174</x:v>
      </x:c>
    </x:row>
    <x:row r="649" ht="23" customHeight="1">
      <x:c r="A649" s="2" t="str">
        <x:v>SIM-202606-038</x:v>
      </x:c>
      <x:c r="B649" s="2" t="str">
        <x:v>Perro caliente</x:v>
      </x:c>
      <x:c r="C649" s="2" t="str"/>
      <x:c r="D649" s="2" t="n">
        <x:v>1</x:v>
      </x:c>
      <x:c r="E649" s="10" t="n">
        <x:v>13000</x:v>
      </x:c>
      <x:c r="F649" s="10" t="n">
        <x:v>13000</x:v>
      </x:c>
      <x:c r="G649" s="8" t="n">
        <x:f>INDEX('Órdenes'!$B$7:$B$334,MATCH(A649,'Órdenes'!$A$7:$A$334,0))</x:f>
        <x:v>46198</x:v>
      </x:c>
      <x:c r="H649" s="11" t="n">
        <x:f>DATE(YEAR(G649),MONTH(G649),1)</x:f>
        <x:v>46174</x:v>
      </x:c>
    </x:row>
    <x:row r="650" ht="23" customHeight="1">
      <x:c r="A650" s="2" t="str">
        <x:v>SIM-202606-038</x:v>
      </x:c>
      <x:c r="B650" s="2" t="str">
        <x:v>Gaseosas</x:v>
      </x:c>
      <x:c r="C650" s="2" t="str">
        <x:v>Coca-Cola</x:v>
      </x:c>
      <x:c r="D650" s="2" t="n">
        <x:v>1</x:v>
      </x:c>
      <x:c r="E650" s="10" t="n">
        <x:v>5000</x:v>
      </x:c>
      <x:c r="F650" s="10" t="n">
        <x:v>5000</x:v>
      </x:c>
      <x:c r="G650" s="8" t="n">
        <x:f>INDEX('Órdenes'!$B$7:$B$334,MATCH(A650,'Órdenes'!$A$7:$A$334,0))</x:f>
        <x:v>46198</x:v>
      </x:c>
      <x:c r="H650" s="11" t="n">
        <x:f>DATE(YEAR(G650),MONTH(G650),1)</x:f>
        <x:v>46174</x:v>
      </x:c>
    </x:row>
    <x:row r="651" ht="23" customHeight="1">
      <x:c r="A651" s="2" t="str">
        <x:v>SIM-202606-039</x:v>
      </x:c>
      <x:c r="B651" s="2" t="str">
        <x:v>Hamburguesa Clásica</x:v>
      </x:c>
      <x:c r="C651" s="2" t="str"/>
      <x:c r="D651" s="2" t="n">
        <x:v>2</x:v>
      </x:c>
      <x:c r="E651" s="10" t="n">
        <x:v>15000</x:v>
      </x:c>
      <x:c r="F651" s="10" t="n">
        <x:v>30000</x:v>
      </x:c>
      <x:c r="G651" s="8" t="n">
        <x:f>INDEX('Órdenes'!$B$7:$B$334,MATCH(A651,'Órdenes'!$A$7:$A$334,0))</x:f>
        <x:v>46200</x:v>
      </x:c>
      <x:c r="H651" s="11" t="n">
        <x:f>DATE(YEAR(G651),MONTH(G651),1)</x:f>
        <x:v>46174</x:v>
      </x:c>
    </x:row>
    <x:row r="652" ht="23" customHeight="1">
      <x:c r="A652" s="2" t="str">
        <x:v>SIM-202606-039</x:v>
      </x:c>
      <x:c r="B652" s="2" t="str">
        <x:v>Hamburguesa especial</x:v>
      </x:c>
      <x:c r="C652" s="2" t="str"/>
      <x:c r="D652" s="2" t="n">
        <x:v>2</x:v>
      </x:c>
      <x:c r="E652" s="10" t="n">
        <x:v>20000</x:v>
      </x:c>
      <x:c r="F652" s="10" t="n">
        <x:v>40000</x:v>
      </x:c>
      <x:c r="G652" s="8" t="n">
        <x:f>INDEX('Órdenes'!$B$7:$B$334,MATCH(A652,'Órdenes'!$A$7:$A$334,0))</x:f>
        <x:v>46200</x:v>
      </x:c>
      <x:c r="H652" s="11" t="n">
        <x:f>DATE(YEAR(G652),MONTH(G652),1)</x:f>
        <x:v>46174</x:v>
      </x:c>
    </x:row>
    <x:row r="653" ht="23" customHeight="1">
      <x:c r="A653" s="2" t="str">
        <x:v>SIM-202606-039</x:v>
      </x:c>
      <x:c r="B653" s="2" t="str">
        <x:v>Gaseosas</x:v>
      </x:c>
      <x:c r="C653" s="2" t="str">
        <x:v>Coca-Cola</x:v>
      </x:c>
      <x:c r="D653" s="2" t="n">
        <x:v>3</x:v>
      </x:c>
      <x:c r="E653" s="10" t="n">
        <x:v>5000</x:v>
      </x:c>
      <x:c r="F653" s="10" t="n">
        <x:v>15000</x:v>
      </x:c>
      <x:c r="G653" s="8" t="n">
        <x:f>INDEX('Órdenes'!$B$7:$B$334,MATCH(A653,'Órdenes'!$A$7:$A$334,0))</x:f>
        <x:v>46200</x:v>
      </x:c>
      <x:c r="H653" s="11" t="n">
        <x:f>DATE(YEAR(G653),MONTH(G653),1)</x:f>
        <x:v>46174</x:v>
      </x:c>
    </x:row>
    <x:row r="654" ht="23" customHeight="1">
      <x:c r="A654" s="2" t="str">
        <x:v>SIM-202606-039</x:v>
      </x:c>
      <x:c r="B654" s="2" t="str">
        <x:v>Gaseosas</x:v>
      </x:c>
      <x:c r="C654" s="2" t="str">
        <x:v>Sprite</x:v>
      </x:c>
      <x:c r="D654" s="2" t="n">
        <x:v>1</x:v>
      </x:c>
      <x:c r="E654" s="10" t="n">
        <x:v>5000</x:v>
      </x:c>
      <x:c r="F654" s="10" t="n">
        <x:v>5000</x:v>
      </x:c>
      <x:c r="G654" s="8" t="n">
        <x:f>INDEX('Órdenes'!$B$7:$B$334,MATCH(A654,'Órdenes'!$A$7:$A$334,0))</x:f>
        <x:v>46200</x:v>
      </x:c>
      <x:c r="H654" s="11" t="n">
        <x:f>DATE(YEAR(G654),MONTH(G654),1)</x:f>
        <x:v>46174</x:v>
      </x:c>
    </x:row>
    <x:row r="655" ht="23" customHeight="1">
      <x:c r="A655" s="2" t="str">
        <x:v>SIM-202606-040</x:v>
      </x:c>
      <x:c r="B655" s="2" t="str">
        <x:v>Hamburguesa Clásica</x:v>
      </x:c>
      <x:c r="C655" s="2" t="str"/>
      <x:c r="D655" s="2" t="n">
        <x:v>2</x:v>
      </x:c>
      <x:c r="E655" s="10" t="n">
        <x:v>15000</x:v>
      </x:c>
      <x:c r="F655" s="10" t="n">
        <x:v>30000</x:v>
      </x:c>
      <x:c r="G655" s="8" t="n">
        <x:f>INDEX('Órdenes'!$B$7:$B$334,MATCH(A655,'Órdenes'!$A$7:$A$334,0))</x:f>
        <x:v>46200</x:v>
      </x:c>
      <x:c r="H655" s="11" t="n">
        <x:f>DATE(YEAR(G655),MONTH(G655),1)</x:f>
        <x:v>46174</x:v>
      </x:c>
    </x:row>
    <x:row r="656" ht="23" customHeight="1">
      <x:c r="A656" s="2" t="str">
        <x:v>SIM-202606-040</x:v>
      </x:c>
      <x:c r="B656" s="2" t="str">
        <x:v>Hamburguesa especial</x:v>
      </x:c>
      <x:c r="C656" s="2" t="str"/>
      <x:c r="D656" s="2" t="n">
        <x:v>1</x:v>
      </x:c>
      <x:c r="E656" s="10" t="n">
        <x:v>20000</x:v>
      </x:c>
      <x:c r="F656" s="10" t="n">
        <x:v>20000</x:v>
      </x:c>
      <x:c r="G656" s="8" t="n">
        <x:f>INDEX('Órdenes'!$B$7:$B$334,MATCH(A656,'Órdenes'!$A$7:$A$334,0))</x:f>
        <x:v>46200</x:v>
      </x:c>
      <x:c r="H656" s="11" t="n">
        <x:f>DATE(YEAR(G656),MONTH(G656),1)</x:f>
        <x:v>46174</x:v>
      </x:c>
    </x:row>
    <x:row r="657" ht="23" customHeight="1">
      <x:c r="A657" s="2" t="str">
        <x:v>SIM-202606-040</x:v>
      </x:c>
      <x:c r="B657" s="2" t="str">
        <x:v>Gaseosas</x:v>
      </x:c>
      <x:c r="C657" s="2" t="str">
        <x:v>Coca-Cola</x:v>
      </x:c>
      <x:c r="D657" s="2" t="n">
        <x:v>2</x:v>
      </x:c>
      <x:c r="E657" s="10" t="n">
        <x:v>5000</x:v>
      </x:c>
      <x:c r="F657" s="10" t="n">
        <x:v>10000</x:v>
      </x:c>
      <x:c r="G657" s="8" t="n">
        <x:f>INDEX('Órdenes'!$B$7:$B$334,MATCH(A657,'Órdenes'!$A$7:$A$334,0))</x:f>
        <x:v>46200</x:v>
      </x:c>
      <x:c r="H657" s="11" t="n">
        <x:f>DATE(YEAR(G657),MONTH(G657),1)</x:f>
        <x:v>46174</x:v>
      </x:c>
    </x:row>
    <x:row r="658" ht="23" customHeight="1">
      <x:c r="A658" s="2" t="str">
        <x:v>SIM-202606-040</x:v>
      </x:c>
      <x:c r="B658" s="2" t="str">
        <x:v>Gaseosas</x:v>
      </x:c>
      <x:c r="C658" s="2" t="str">
        <x:v>Manzana</x:v>
      </x:c>
      <x:c r="D658" s="2" t="n">
        <x:v>1</x:v>
      </x:c>
      <x:c r="E658" s="10" t="n">
        <x:v>5000</x:v>
      </x:c>
      <x:c r="F658" s="10" t="n">
        <x:v>5000</x:v>
      </x:c>
      <x:c r="G658" s="8" t="n">
        <x:f>INDEX('Órdenes'!$B$7:$B$334,MATCH(A658,'Órdenes'!$A$7:$A$334,0))</x:f>
        <x:v>46200</x:v>
      </x:c>
      <x:c r="H658" s="11" t="n">
        <x:f>DATE(YEAR(G658),MONTH(G658),1)</x:f>
        <x:v>46174</x:v>
      </x:c>
    </x:row>
    <x:row r="659" ht="23" customHeight="1">
      <x:c r="A659" s="2" t="str">
        <x:v>SIM-202606-041</x:v>
      </x:c>
      <x:c r="B659" s="2" t="str">
        <x:v>Hamburguesa Clásica</x:v>
      </x:c>
      <x:c r="C659" s="2" t="str"/>
      <x:c r="D659" s="2" t="n">
        <x:v>1</x:v>
      </x:c>
      <x:c r="E659" s="10" t="n">
        <x:v>15000</x:v>
      </x:c>
      <x:c r="F659" s="10" t="n">
        <x:v>15000</x:v>
      </x:c>
      <x:c r="G659" s="8" t="n">
        <x:f>INDEX('Órdenes'!$B$7:$B$334,MATCH(A659,'Órdenes'!$A$7:$A$334,0))</x:f>
        <x:v>46201</x:v>
      </x:c>
      <x:c r="H659" s="11" t="n">
        <x:f>DATE(YEAR(G659),MONTH(G659),1)</x:f>
        <x:v>46174</x:v>
      </x:c>
    </x:row>
    <x:row r="660" ht="23" customHeight="1">
      <x:c r="A660" s="2" t="str">
        <x:v>SIM-202606-041</x:v>
      </x:c>
      <x:c r="B660" s="2" t="str">
        <x:v>Perro caliente</x:v>
      </x:c>
      <x:c r="C660" s="2" t="str"/>
      <x:c r="D660" s="2" t="n">
        <x:v>1</x:v>
      </x:c>
      <x:c r="E660" s="10" t="n">
        <x:v>13000</x:v>
      </x:c>
      <x:c r="F660" s="10" t="n">
        <x:v>13000</x:v>
      </x:c>
      <x:c r="G660" s="8" t="n">
        <x:f>INDEX('Órdenes'!$B$7:$B$334,MATCH(A660,'Órdenes'!$A$7:$A$334,0))</x:f>
        <x:v>46201</x:v>
      </x:c>
      <x:c r="H660" s="11" t="n">
        <x:f>DATE(YEAR(G660),MONTH(G660),1)</x:f>
        <x:v>46174</x:v>
      </x:c>
    </x:row>
    <x:row r="661" ht="23" customHeight="1">
      <x:c r="A661" s="2" t="str">
        <x:v>SIM-202606-041</x:v>
      </x:c>
      <x:c r="B661" s="2" t="str">
        <x:v>Gaseosas</x:v>
      </x:c>
      <x:c r="C661" s="2" t="str">
        <x:v>Coca-Cola</x:v>
      </x:c>
      <x:c r="D661" s="2" t="n">
        <x:v>1</x:v>
      </x:c>
      <x:c r="E661" s="10" t="n">
        <x:v>5000</x:v>
      </x:c>
      <x:c r="F661" s="10" t="n">
        <x:v>5000</x:v>
      </x:c>
      <x:c r="G661" s="8" t="n">
        <x:f>INDEX('Órdenes'!$B$7:$B$334,MATCH(A661,'Órdenes'!$A$7:$A$334,0))</x:f>
        <x:v>46201</x:v>
      </x:c>
      <x:c r="H661" s="11" t="n">
        <x:f>DATE(YEAR(G661),MONTH(G661),1)</x:f>
        <x:v>46174</x:v>
      </x:c>
    </x:row>
    <x:row r="662" ht="23" customHeight="1">
      <x:c r="A662" s="2" t="str">
        <x:v>SIM-202606-041</x:v>
      </x:c>
      <x:c r="B662" s="2" t="str">
        <x:v>Gaseosas</x:v>
      </x:c>
      <x:c r="C662" s="2" t="str">
        <x:v>Sprite</x:v>
      </x:c>
      <x:c r="D662" s="2" t="n">
        <x:v>1</x:v>
      </x:c>
      <x:c r="E662" s="10" t="n">
        <x:v>5000</x:v>
      </x:c>
      <x:c r="F662" s="10" t="n">
        <x:v>5000</x:v>
      </x:c>
      <x:c r="G662" s="8" t="n">
        <x:f>INDEX('Órdenes'!$B$7:$B$334,MATCH(A662,'Órdenes'!$A$7:$A$334,0))</x:f>
        <x:v>46201</x:v>
      </x:c>
      <x:c r="H662" s="11" t="n">
        <x:f>DATE(YEAR(G662),MONTH(G662),1)</x:f>
        <x:v>46174</x:v>
      </x:c>
    </x:row>
    <x:row r="663" ht="23" customHeight="1">
      <x:c r="A663" s="2" t="str">
        <x:v>SIM-202606-042</x:v>
      </x:c>
      <x:c r="B663" s="2" t="str">
        <x:v>Hamburguesa Clásica</x:v>
      </x:c>
      <x:c r="C663" s="2" t="str"/>
      <x:c r="D663" s="2" t="n">
        <x:v>1</x:v>
      </x:c>
      <x:c r="E663" s="10" t="n">
        <x:v>15000</x:v>
      </x:c>
      <x:c r="F663" s="10" t="n">
        <x:v>15000</x:v>
      </x:c>
      <x:c r="G663" s="8" t="n">
        <x:f>INDEX('Órdenes'!$B$7:$B$334,MATCH(A663,'Órdenes'!$A$7:$A$334,0))</x:f>
        <x:v>46201</x:v>
      </x:c>
      <x:c r="H663" s="11" t="n">
        <x:f>DATE(YEAR(G663),MONTH(G663),1)</x:f>
        <x:v>46174</x:v>
      </x:c>
    </x:row>
    <x:row r="664" ht="23" customHeight="1">
      <x:c r="A664" s="2" t="str">
        <x:v>SIM-202606-042</x:v>
      </x:c>
      <x:c r="B664" s="2" t="str">
        <x:v>Perro caliente</x:v>
      </x:c>
      <x:c r="C664" s="2" t="str"/>
      <x:c r="D664" s="2" t="n">
        <x:v>1</x:v>
      </x:c>
      <x:c r="E664" s="10" t="n">
        <x:v>13000</x:v>
      </x:c>
      <x:c r="F664" s="10" t="n">
        <x:v>13000</x:v>
      </x:c>
      <x:c r="G664" s="8" t="n">
        <x:f>INDEX('Órdenes'!$B$7:$B$334,MATCH(A664,'Órdenes'!$A$7:$A$334,0))</x:f>
        <x:v>46201</x:v>
      </x:c>
      <x:c r="H664" s="11" t="n">
        <x:f>DATE(YEAR(G664),MONTH(G664),1)</x:f>
        <x:v>46174</x:v>
      </x:c>
    </x:row>
    <x:row r="665" ht="23" customHeight="1">
      <x:c r="A665" s="2" t="str">
        <x:v>SIM-202606-042</x:v>
      </x:c>
      <x:c r="B665" s="2" t="str">
        <x:v>Gaseosas</x:v>
      </x:c>
      <x:c r="C665" s="2" t="str">
        <x:v>Coca-Cola</x:v>
      </x:c>
      <x:c r="D665" s="2" t="n">
        <x:v>1</x:v>
      </x:c>
      <x:c r="E665" s="10" t="n">
        <x:v>5000</x:v>
      </x:c>
      <x:c r="F665" s="10" t="n">
        <x:v>5000</x:v>
      </x:c>
      <x:c r="G665" s="8" t="n">
        <x:f>INDEX('Órdenes'!$B$7:$B$334,MATCH(A665,'Órdenes'!$A$7:$A$334,0))</x:f>
        <x:v>46201</x:v>
      </x:c>
      <x:c r="H665" s="11" t="n">
        <x:f>DATE(YEAR(G665),MONTH(G665),1)</x:f>
        <x:v>46174</x:v>
      </x:c>
    </x:row>
    <x:row r="666" ht="23" customHeight="1">
      <x:c r="A666" s="2" t="str">
        <x:v>SIM-202607-001</x:v>
      </x:c>
      <x:c r="B666" s="2" t="str">
        <x:v>Hamburguesa Clásica</x:v>
      </x:c>
      <x:c r="C666" s="2" t="str"/>
      <x:c r="D666" s="2" t="n">
        <x:v>1</x:v>
      </x:c>
      <x:c r="E666" s="10" t="n">
        <x:v>15000</x:v>
      </x:c>
      <x:c r="F666" s="10" t="n">
        <x:v>15000</x:v>
      </x:c>
      <x:c r="G666" s="8" t="n">
        <x:f>INDEX('Órdenes'!$B$7:$B$334,MATCH(A666,'Órdenes'!$A$7:$A$334,0))</x:f>
        <x:v>46204</x:v>
      </x:c>
      <x:c r="H666" s="11" t="n">
        <x:f>DATE(YEAR(G666),MONTH(G666),1)</x:f>
        <x:v>46204</x:v>
      </x:c>
    </x:row>
    <x:row r="667" ht="23" customHeight="1">
      <x:c r="A667" s="2" t="str">
        <x:v>SIM-202607-001</x:v>
      </x:c>
      <x:c r="B667" s="2" t="str">
        <x:v>Gaseosas</x:v>
      </x:c>
      <x:c r="C667" s="2" t="str">
        <x:v>Coca-Cola</x:v>
      </x:c>
      <x:c r="D667" s="2" t="n">
        <x:v>1</x:v>
      </x:c>
      <x:c r="E667" s="10" t="n">
        <x:v>5000</x:v>
      </x:c>
      <x:c r="F667" s="10" t="n">
        <x:v>5000</x:v>
      </x:c>
      <x:c r="G667" s="8" t="n">
        <x:f>INDEX('Órdenes'!$B$7:$B$334,MATCH(A667,'Órdenes'!$A$7:$A$334,0))</x:f>
        <x:v>46204</x:v>
      </x:c>
      <x:c r="H667" s="11" t="n">
        <x:f>DATE(YEAR(G667),MONTH(G667),1)</x:f>
        <x:v>46204</x:v>
      </x:c>
    </x:row>
    <x:row r="668" ht="23" customHeight="1">
      <x:c r="A668" s="2" t="str">
        <x:v>SIM-202607-002</x:v>
      </x:c>
      <x:c r="B668" s="2" t="str">
        <x:v>Perro caliente</x:v>
      </x:c>
      <x:c r="C668" s="2" t="str"/>
      <x:c r="D668" s="2" t="n">
        <x:v>1</x:v>
      </x:c>
      <x:c r="E668" s="10" t="n">
        <x:v>13000</x:v>
      </x:c>
      <x:c r="F668" s="10" t="n">
        <x:v>13000</x:v>
      </x:c>
      <x:c r="G668" s="8" t="n">
        <x:f>INDEX('Órdenes'!$B$7:$B$334,MATCH(A668,'Órdenes'!$A$7:$A$334,0))</x:f>
        <x:v>46205</x:v>
      </x:c>
      <x:c r="H668" s="11" t="n">
        <x:f>DATE(YEAR(G668),MONTH(G668),1)</x:f>
        <x:v>46204</x:v>
      </x:c>
    </x:row>
    <x:row r="669" ht="23" customHeight="1">
      <x:c r="A669" s="2" t="str">
        <x:v>SIM-202607-002</x:v>
      </x:c>
      <x:c r="B669" s="2" t="str">
        <x:v>Gaseosas</x:v>
      </x:c>
      <x:c r="C669" s="2" t="str">
        <x:v>Coca-Cola</x:v>
      </x:c>
      <x:c r="D669" s="2" t="n">
        <x:v>1</x:v>
      </x:c>
      <x:c r="E669" s="10" t="n">
        <x:v>5000</x:v>
      </x:c>
      <x:c r="F669" s="10" t="n">
        <x:v>5000</x:v>
      </x:c>
      <x:c r="G669" s="8" t="n">
        <x:f>INDEX('Órdenes'!$B$7:$B$334,MATCH(A669,'Órdenes'!$A$7:$A$334,0))</x:f>
        <x:v>46205</x:v>
      </x:c>
      <x:c r="H669" s="11" t="n">
        <x:f>DATE(YEAR(G669),MONTH(G669),1)</x:f>
        <x:v>46204</x:v>
      </x:c>
    </x:row>
    <x:row r="670" ht="23" customHeight="1">
      <x:c r="A670" s="2" t="str">
        <x:v>SIM-202607-003</x:v>
      </x:c>
      <x:c r="B670" s="2" t="str">
        <x:v>Hamburguesa especial</x:v>
      </x:c>
      <x:c r="C670" s="2" t="str"/>
      <x:c r="D670" s="2" t="n">
        <x:v>2</x:v>
      </x:c>
      <x:c r="E670" s="10" t="n">
        <x:v>20000</x:v>
      </x:c>
      <x:c r="F670" s="10" t="n">
        <x:v>40000</x:v>
      </x:c>
      <x:c r="G670" s="8" t="n">
        <x:f>INDEX('Órdenes'!$B$7:$B$334,MATCH(A670,'Órdenes'!$A$7:$A$334,0))</x:f>
        <x:v>46205</x:v>
      </x:c>
      <x:c r="H670" s="11" t="n">
        <x:f>DATE(YEAR(G670),MONTH(G670),1)</x:f>
        <x:v>46204</x:v>
      </x:c>
    </x:row>
    <x:row r="671" ht="23" customHeight="1">
      <x:c r="A671" s="2" t="str">
        <x:v>SIM-202607-003</x:v>
      </x:c>
      <x:c r="B671" s="2" t="str">
        <x:v>Gaseosas</x:v>
      </x:c>
      <x:c r="C671" s="2" t="str">
        <x:v>Coca-Cola</x:v>
      </x:c>
      <x:c r="D671" s="2" t="n">
        <x:v>2</x:v>
      </x:c>
      <x:c r="E671" s="10" t="n">
        <x:v>5000</x:v>
      </x:c>
      <x:c r="F671" s="10" t="n">
        <x:v>10000</x:v>
      </x:c>
      <x:c r="G671" s="8" t="n">
        <x:f>INDEX('Órdenes'!$B$7:$B$334,MATCH(A671,'Órdenes'!$A$7:$A$334,0))</x:f>
        <x:v>46205</x:v>
      </x:c>
      <x:c r="H671" s="11" t="n">
        <x:f>DATE(YEAR(G671),MONTH(G671),1)</x:f>
        <x:v>46204</x:v>
      </x:c>
    </x:row>
    <x:row r="672" ht="23" customHeight="1">
      <x:c r="A672" s="2" t="str">
        <x:v>SIM-202607-004</x:v>
      </x:c>
      <x:c r="B672" s="2" t="str">
        <x:v>Hamburguesa especial</x:v>
      </x:c>
      <x:c r="C672" s="2" t="str"/>
      <x:c r="D672" s="2" t="n">
        <x:v>1</x:v>
      </x:c>
      <x:c r="E672" s="10" t="n">
        <x:v>20000</x:v>
      </x:c>
      <x:c r="F672" s="10" t="n">
        <x:v>20000</x:v>
      </x:c>
      <x:c r="G672" s="8" t="n">
        <x:f>INDEX('Órdenes'!$B$7:$B$334,MATCH(A672,'Órdenes'!$A$7:$A$334,0))</x:f>
        <x:v>46205</x:v>
      </x:c>
      <x:c r="H672" s="11" t="n">
        <x:f>DATE(YEAR(G672),MONTH(G672),1)</x:f>
        <x:v>46204</x:v>
      </x:c>
    </x:row>
    <x:row r="673" ht="23" customHeight="1">
      <x:c r="A673" s="2" t="str">
        <x:v>SIM-202607-004</x:v>
      </x:c>
      <x:c r="B673" s="2" t="str">
        <x:v>Perro caliente</x:v>
      </x:c>
      <x:c r="C673" s="2" t="str"/>
      <x:c r="D673" s="2" t="n">
        <x:v>1</x:v>
      </x:c>
      <x:c r="E673" s="10" t="n">
        <x:v>13000</x:v>
      </x:c>
      <x:c r="F673" s="10" t="n">
        <x:v>13000</x:v>
      </x:c>
      <x:c r="G673" s="8" t="n">
        <x:f>INDEX('Órdenes'!$B$7:$B$334,MATCH(A673,'Órdenes'!$A$7:$A$334,0))</x:f>
        <x:v>46205</x:v>
      </x:c>
      <x:c r="H673" s="11" t="n">
        <x:f>DATE(YEAR(G673),MONTH(G673),1)</x:f>
        <x:v>46204</x:v>
      </x:c>
    </x:row>
    <x:row r="674" ht="23" customHeight="1">
      <x:c r="A674" s="2" t="str">
        <x:v>SIM-202607-004</x:v>
      </x:c>
      <x:c r="B674" s="2" t="str">
        <x:v>Gaseosas</x:v>
      </x:c>
      <x:c r="C674" s="2" t="str">
        <x:v>Coca-Cola</x:v>
      </x:c>
      <x:c r="D674" s="2" t="n">
        <x:v>2</x:v>
      </x:c>
      <x:c r="E674" s="10" t="n">
        <x:v>5000</x:v>
      </x:c>
      <x:c r="F674" s="10" t="n">
        <x:v>10000</x:v>
      </x:c>
      <x:c r="G674" s="8" t="n">
        <x:f>INDEX('Órdenes'!$B$7:$B$334,MATCH(A674,'Órdenes'!$A$7:$A$334,0))</x:f>
        <x:v>46205</x:v>
      </x:c>
      <x:c r="H674" s="11" t="n">
        <x:f>DATE(YEAR(G674),MONTH(G674),1)</x:f>
        <x:v>46204</x:v>
      </x:c>
    </x:row>
    <x:row r="675" ht="23" customHeight="1">
      <x:c r="A675" s="2" t="str">
        <x:v>SIM-202607-005</x:v>
      </x:c>
      <x:c r="B675" s="2" t="str">
        <x:v>Hamburguesa Clásica</x:v>
      </x:c>
      <x:c r="C675" s="2" t="str"/>
      <x:c r="D675" s="2" t="n">
        <x:v>1</x:v>
      </x:c>
      <x:c r="E675" s="10" t="n">
        <x:v>15000</x:v>
      </x:c>
      <x:c r="F675" s="10" t="n">
        <x:v>15000</x:v>
      </x:c>
      <x:c r="G675" s="8" t="n">
        <x:f>INDEX('Órdenes'!$B$7:$B$334,MATCH(A675,'Órdenes'!$A$7:$A$334,0))</x:f>
        <x:v>46206</x:v>
      </x:c>
      <x:c r="H675" s="11" t="n">
        <x:f>DATE(YEAR(G675),MONTH(G675),1)</x:f>
        <x:v>46204</x:v>
      </x:c>
    </x:row>
    <x:row r="676" ht="23" customHeight="1">
      <x:c r="A676" s="2" t="str">
        <x:v>SIM-202607-005</x:v>
      </x:c>
      <x:c r="B676" s="2" t="str">
        <x:v>Salchipapas</x:v>
      </x:c>
      <x:c r="C676" s="2" t="str"/>
      <x:c r="D676" s="2" t="n">
        <x:v>1</x:v>
      </x:c>
      <x:c r="E676" s="10" t="n">
        <x:v>12000</x:v>
      </x:c>
      <x:c r="F676" s="10" t="n">
        <x:v>12000</x:v>
      </x:c>
      <x:c r="G676" s="8" t="n">
        <x:f>INDEX('Órdenes'!$B$7:$B$334,MATCH(A676,'Órdenes'!$A$7:$A$334,0))</x:f>
        <x:v>46206</x:v>
      </x:c>
      <x:c r="H676" s="11" t="n">
        <x:f>DATE(YEAR(G676),MONTH(G676),1)</x:f>
        <x:v>46204</x:v>
      </x:c>
    </x:row>
    <x:row r="677" ht="23" customHeight="1">
      <x:c r="A677" s="2" t="str">
        <x:v>SIM-202607-005</x:v>
      </x:c>
      <x:c r="B677" s="2" t="str">
        <x:v>Gaseosas</x:v>
      </x:c>
      <x:c r="C677" s="2" t="str">
        <x:v>Coca-Cola</x:v>
      </x:c>
      <x:c r="D677" s="2" t="n">
        <x:v>1</x:v>
      </x:c>
      <x:c r="E677" s="10" t="n">
        <x:v>5000</x:v>
      </x:c>
      <x:c r="F677" s="10" t="n">
        <x:v>5000</x:v>
      </x:c>
      <x:c r="G677" s="8" t="n">
        <x:f>INDEX('Órdenes'!$B$7:$B$334,MATCH(A677,'Órdenes'!$A$7:$A$334,0))</x:f>
        <x:v>46206</x:v>
      </x:c>
      <x:c r="H677" s="11" t="n">
        <x:f>DATE(YEAR(G677),MONTH(G677),1)</x:f>
        <x:v>46204</x:v>
      </x:c>
    </x:row>
    <x:row r="678" ht="23" customHeight="1">
      <x:c r="A678" s="2" t="str">
        <x:v>SIM-202607-006</x:v>
      </x:c>
      <x:c r="B678" s="2" t="str">
        <x:v>Hamburguesa Clásica</x:v>
      </x:c>
      <x:c r="C678" s="2" t="str"/>
      <x:c r="D678" s="2" t="n">
        <x:v>1</x:v>
      </x:c>
      <x:c r="E678" s="10" t="n">
        <x:v>15000</x:v>
      </x:c>
      <x:c r="F678" s="10" t="n">
        <x:v>15000</x:v>
      </x:c>
      <x:c r="G678" s="8" t="n">
        <x:f>INDEX('Órdenes'!$B$7:$B$334,MATCH(A678,'Órdenes'!$A$7:$A$334,0))</x:f>
        <x:v>46206</x:v>
      </x:c>
      <x:c r="H678" s="11" t="n">
        <x:f>DATE(YEAR(G678),MONTH(G678),1)</x:f>
        <x:v>46204</x:v>
      </x:c>
    </x:row>
    <x:row r="679" ht="23" customHeight="1">
      <x:c r="A679" s="2" t="str">
        <x:v>SIM-202607-006</x:v>
      </x:c>
      <x:c r="B679" s="2" t="str">
        <x:v>Gaseosas</x:v>
      </x:c>
      <x:c r="C679" s="2" t="str">
        <x:v>Coca-Cola</x:v>
      </x:c>
      <x:c r="D679" s="2" t="n">
        <x:v>1</x:v>
      </x:c>
      <x:c r="E679" s="10" t="n">
        <x:v>5000</x:v>
      </x:c>
      <x:c r="F679" s="10" t="n">
        <x:v>5000</x:v>
      </x:c>
      <x:c r="G679" s="8" t="n">
        <x:f>INDEX('Órdenes'!$B$7:$B$334,MATCH(A679,'Órdenes'!$A$7:$A$334,0))</x:f>
        <x:v>46206</x:v>
      </x:c>
      <x:c r="H679" s="11" t="n">
        <x:f>DATE(YEAR(G679),MONTH(G679),1)</x:f>
        <x:v>46204</x:v>
      </x:c>
    </x:row>
    <x:row r="680" ht="23" customHeight="1">
      <x:c r="A680" s="2" t="str">
        <x:v>SIM-202607-007</x:v>
      </x:c>
      <x:c r="B680" s="2" t="str">
        <x:v>Hamburguesa Clásica</x:v>
      </x:c>
      <x:c r="C680" s="2" t="str"/>
      <x:c r="D680" s="2" t="n">
        <x:v>1</x:v>
      </x:c>
      <x:c r="E680" s="10" t="n">
        <x:v>15000</x:v>
      </x:c>
      <x:c r="F680" s="10" t="n">
        <x:v>15000</x:v>
      </x:c>
      <x:c r="G680" s="8" t="n">
        <x:f>INDEX('Órdenes'!$B$7:$B$334,MATCH(A680,'Órdenes'!$A$7:$A$334,0))</x:f>
        <x:v>46206</x:v>
      </x:c>
      <x:c r="H680" s="11" t="n">
        <x:f>DATE(YEAR(G680),MONTH(G680),1)</x:f>
        <x:v>46204</x:v>
      </x:c>
    </x:row>
    <x:row r="681" ht="23" customHeight="1">
      <x:c r="A681" s="2" t="str">
        <x:v>SIM-202607-007</x:v>
      </x:c>
      <x:c r="B681" s="2" t="str">
        <x:v>Hamburguesa especial</x:v>
      </x:c>
      <x:c r="C681" s="2" t="str"/>
      <x:c r="D681" s="2" t="n">
        <x:v>1</x:v>
      </x:c>
      <x:c r="E681" s="10" t="n">
        <x:v>20000</x:v>
      </x:c>
      <x:c r="F681" s="10" t="n">
        <x:v>20000</x:v>
      </x:c>
      <x:c r="G681" s="8" t="n">
        <x:f>INDEX('Órdenes'!$B$7:$B$334,MATCH(A681,'Órdenes'!$A$7:$A$334,0))</x:f>
        <x:v>46206</x:v>
      </x:c>
      <x:c r="H681" s="11" t="n">
        <x:f>DATE(YEAR(G681),MONTH(G681),1)</x:f>
        <x:v>46204</x:v>
      </x:c>
    </x:row>
    <x:row r="682" ht="23" customHeight="1">
      <x:c r="A682" s="2" t="str">
        <x:v>SIM-202607-007</x:v>
      </x:c>
      <x:c r="B682" s="2" t="str">
        <x:v>Salchipapas</x:v>
      </x:c>
      <x:c r="C682" s="2" t="str"/>
      <x:c r="D682" s="2" t="n">
        <x:v>1</x:v>
      </x:c>
      <x:c r="E682" s="10" t="n">
        <x:v>12000</x:v>
      </x:c>
      <x:c r="F682" s="10" t="n">
        <x:v>12000</x:v>
      </x:c>
      <x:c r="G682" s="8" t="n">
        <x:f>INDEX('Órdenes'!$B$7:$B$334,MATCH(A682,'Órdenes'!$A$7:$A$334,0))</x:f>
        <x:v>46206</x:v>
      </x:c>
      <x:c r="H682" s="11" t="n">
        <x:f>DATE(YEAR(G682),MONTH(G682),1)</x:f>
        <x:v>46204</x:v>
      </x:c>
    </x:row>
    <x:row r="683" ht="23" customHeight="1">
      <x:c r="A683" s="2" t="str">
        <x:v>SIM-202607-007</x:v>
      </x:c>
      <x:c r="B683" s="2" t="str">
        <x:v>Gaseosas</x:v>
      </x:c>
      <x:c r="C683" s="2" t="str">
        <x:v>Coca-Cola</x:v>
      </x:c>
      <x:c r="D683" s="2" t="n">
        <x:v>2</x:v>
      </x:c>
      <x:c r="E683" s="10" t="n">
        <x:v>5000</x:v>
      </x:c>
      <x:c r="F683" s="10" t="n">
        <x:v>10000</x:v>
      </x:c>
      <x:c r="G683" s="8" t="n">
        <x:f>INDEX('Órdenes'!$B$7:$B$334,MATCH(A683,'Órdenes'!$A$7:$A$334,0))</x:f>
        <x:v>46206</x:v>
      </x:c>
      <x:c r="H683" s="11" t="n">
        <x:f>DATE(YEAR(G683),MONTH(G683),1)</x:f>
        <x:v>46204</x:v>
      </x:c>
    </x:row>
    <x:row r="684" ht="23" customHeight="1">
      <x:c r="A684" s="2" t="str">
        <x:v>SIM-202607-008</x:v>
      </x:c>
      <x:c r="B684" s="2" t="str">
        <x:v>Hamburguesa Clásica</x:v>
      </x:c>
      <x:c r="C684" s="2" t="str"/>
      <x:c r="D684" s="2" t="n">
        <x:v>1</x:v>
      </x:c>
      <x:c r="E684" s="10" t="n">
        <x:v>15000</x:v>
      </x:c>
      <x:c r="F684" s="10" t="n">
        <x:v>15000</x:v>
      </x:c>
      <x:c r="G684" s="8" t="n">
        <x:f>INDEX('Órdenes'!$B$7:$B$334,MATCH(A684,'Órdenes'!$A$7:$A$334,0))</x:f>
        <x:v>46206</x:v>
      </x:c>
      <x:c r="H684" s="11" t="n">
        <x:f>DATE(YEAR(G684),MONTH(G684),1)</x:f>
        <x:v>46204</x:v>
      </x:c>
    </x:row>
    <x:row r="685" ht="23" customHeight="1">
      <x:c r="A685" s="2" t="str">
        <x:v>SIM-202607-008</x:v>
      </x:c>
      <x:c r="B685" s="2" t="str">
        <x:v>Hamburguesa especial</x:v>
      </x:c>
      <x:c r="C685" s="2" t="str"/>
      <x:c r="D685" s="2" t="n">
        <x:v>1</x:v>
      </x:c>
      <x:c r="E685" s="10" t="n">
        <x:v>20000</x:v>
      </x:c>
      <x:c r="F685" s="10" t="n">
        <x:v>20000</x:v>
      </x:c>
      <x:c r="G685" s="8" t="n">
        <x:f>INDEX('Órdenes'!$B$7:$B$334,MATCH(A685,'Órdenes'!$A$7:$A$334,0))</x:f>
        <x:v>46206</x:v>
      </x:c>
      <x:c r="H685" s="11" t="n">
        <x:f>DATE(YEAR(G685),MONTH(G685),1)</x:f>
        <x:v>46204</x:v>
      </x:c>
    </x:row>
    <x:row r="686" ht="23" customHeight="1">
      <x:c r="A686" s="2" t="str">
        <x:v>SIM-202607-008</x:v>
      </x:c>
      <x:c r="B686" s="2" t="str">
        <x:v>Gaseosas</x:v>
      </x:c>
      <x:c r="C686" s="2" t="str">
        <x:v>Coca-Cola</x:v>
      </x:c>
      <x:c r="D686" s="2" t="n">
        <x:v>1</x:v>
      </x:c>
      <x:c r="E686" s="10" t="n">
        <x:v>5000</x:v>
      </x:c>
      <x:c r="F686" s="10" t="n">
        <x:v>5000</x:v>
      </x:c>
      <x:c r="G686" s="8" t="n">
        <x:f>INDEX('Órdenes'!$B$7:$B$334,MATCH(A686,'Órdenes'!$A$7:$A$334,0))</x:f>
        <x:v>46206</x:v>
      </x:c>
      <x:c r="H686" s="11" t="n">
        <x:f>DATE(YEAR(G686),MONTH(G686),1)</x:f>
        <x:v>46204</x:v>
      </x:c>
    </x:row>
    <x:row r="687" ht="23" customHeight="1">
      <x:c r="A687" s="2" t="str">
        <x:v>SIM-202607-008</x:v>
      </x:c>
      <x:c r="B687" s="2" t="str">
        <x:v>Gaseosas</x:v>
      </x:c>
      <x:c r="C687" s="2" t="str">
        <x:v>Sprite</x:v>
      </x:c>
      <x:c r="D687" s="2" t="n">
        <x:v>1</x:v>
      </x:c>
      <x:c r="E687" s="10" t="n">
        <x:v>5000</x:v>
      </x:c>
      <x:c r="F687" s="10" t="n">
        <x:v>5000</x:v>
      </x:c>
      <x:c r="G687" s="8" t="n">
        <x:f>INDEX('Órdenes'!$B$7:$B$334,MATCH(A687,'Órdenes'!$A$7:$A$334,0))</x:f>
        <x:v>46206</x:v>
      </x:c>
      <x:c r="H687" s="11" t="n">
        <x:f>DATE(YEAR(G687),MONTH(G687),1)</x:f>
        <x:v>46204</x:v>
      </x:c>
    </x:row>
    <x:row r="688" ht="23" customHeight="1">
      <x:c r="A688" s="2" t="str">
        <x:v>SIM-202607-009</x:v>
      </x:c>
      <x:c r="B688" s="2" t="str">
        <x:v>Hamburguesa Clásica</x:v>
      </x:c>
      <x:c r="C688" s="2" t="str"/>
      <x:c r="D688" s="2" t="n">
        <x:v>1</x:v>
      </x:c>
      <x:c r="E688" s="10" t="n">
        <x:v>15000</x:v>
      </x:c>
      <x:c r="F688" s="10" t="n">
        <x:v>15000</x:v>
      </x:c>
      <x:c r="G688" s="8" t="n">
        <x:f>INDEX('Órdenes'!$B$7:$B$334,MATCH(A688,'Órdenes'!$A$7:$A$334,0))</x:f>
        <x:v>46207</x:v>
      </x:c>
      <x:c r="H688" s="11" t="n">
        <x:f>DATE(YEAR(G688),MONTH(G688),1)</x:f>
        <x:v>46204</x:v>
      </x:c>
    </x:row>
    <x:row r="689" ht="23" customHeight="1">
      <x:c r="A689" s="2" t="str">
        <x:v>SIM-202607-010</x:v>
      </x:c>
      <x:c r="B689" s="2" t="str">
        <x:v>Hamburguesa Clásica</x:v>
      </x:c>
      <x:c r="C689" s="2" t="str"/>
      <x:c r="D689" s="2" t="n">
        <x:v>1</x:v>
      </x:c>
      <x:c r="E689" s="10" t="n">
        <x:v>15000</x:v>
      </x:c>
      <x:c r="F689" s="10" t="n">
        <x:v>15000</x:v>
      </x:c>
      <x:c r="G689" s="8" t="n">
        <x:f>INDEX('Órdenes'!$B$7:$B$334,MATCH(A689,'Órdenes'!$A$7:$A$334,0))</x:f>
        <x:v>46207</x:v>
      </x:c>
      <x:c r="H689" s="11" t="n">
        <x:f>DATE(YEAR(G689),MONTH(G689),1)</x:f>
        <x:v>46204</x:v>
      </x:c>
    </x:row>
    <x:row r="690" ht="23" customHeight="1">
      <x:c r="A690" s="2" t="str">
        <x:v>SIM-202607-010</x:v>
      </x:c>
      <x:c r="B690" s="2" t="str">
        <x:v>Gaseosas</x:v>
      </x:c>
      <x:c r="C690" s="2" t="str">
        <x:v>Coca-Cola</x:v>
      </x:c>
      <x:c r="D690" s="2" t="n">
        <x:v>1</x:v>
      </x:c>
      <x:c r="E690" s="10" t="n">
        <x:v>5000</x:v>
      </x:c>
      <x:c r="F690" s="10" t="n">
        <x:v>5000</x:v>
      </x:c>
      <x:c r="G690" s="8" t="n">
        <x:f>INDEX('Órdenes'!$B$7:$B$334,MATCH(A690,'Órdenes'!$A$7:$A$334,0))</x:f>
        <x:v>46207</x:v>
      </x:c>
      <x:c r="H690" s="11" t="n">
        <x:f>DATE(YEAR(G690),MONTH(G690),1)</x:f>
        <x:v>46204</x:v>
      </x:c>
    </x:row>
    <x:row r="691" ht="23" customHeight="1">
      <x:c r="A691" s="2" t="str">
        <x:v>SIM-202607-011</x:v>
      </x:c>
      <x:c r="B691" s="2" t="str">
        <x:v>Hamburguesa Clásica</x:v>
      </x:c>
      <x:c r="C691" s="2" t="str"/>
      <x:c r="D691" s="2" t="n">
        <x:v>1</x:v>
      </x:c>
      <x:c r="E691" s="10" t="n">
        <x:v>15000</x:v>
      </x:c>
      <x:c r="F691" s="10" t="n">
        <x:v>15000</x:v>
      </x:c>
      <x:c r="G691" s="8" t="n">
        <x:f>INDEX('Órdenes'!$B$7:$B$334,MATCH(A691,'Órdenes'!$A$7:$A$334,0))</x:f>
        <x:v>46207</x:v>
      </x:c>
      <x:c r="H691" s="11" t="n">
        <x:f>DATE(YEAR(G691),MONTH(G691),1)</x:f>
        <x:v>46204</x:v>
      </x:c>
    </x:row>
    <x:row r="692" ht="23" customHeight="1">
      <x:c r="A692" s="2" t="str">
        <x:v>SIM-202607-011</x:v>
      </x:c>
      <x:c r="B692" s="2" t="str">
        <x:v>Hamburguesa especial</x:v>
      </x:c>
      <x:c r="C692" s="2" t="str"/>
      <x:c r="D692" s="2" t="n">
        <x:v>1</x:v>
      </x:c>
      <x:c r="E692" s="10" t="n">
        <x:v>20000</x:v>
      </x:c>
      <x:c r="F692" s="10" t="n">
        <x:v>20000</x:v>
      </x:c>
      <x:c r="G692" s="8" t="n">
        <x:f>INDEX('Órdenes'!$B$7:$B$334,MATCH(A692,'Órdenes'!$A$7:$A$334,0))</x:f>
        <x:v>46207</x:v>
      </x:c>
      <x:c r="H692" s="11" t="n">
        <x:f>DATE(YEAR(G692),MONTH(G692),1)</x:f>
        <x:v>46204</x:v>
      </x:c>
    </x:row>
    <x:row r="693" ht="23" customHeight="1">
      <x:c r="A693" s="2" t="str">
        <x:v>SIM-202607-011</x:v>
      </x:c>
      <x:c r="B693" s="2" t="str">
        <x:v>Gaseosas</x:v>
      </x:c>
      <x:c r="C693" s="2" t="str">
        <x:v>Coca-Cola</x:v>
      </x:c>
      <x:c r="D693" s="2" t="n">
        <x:v>1</x:v>
      </x:c>
      <x:c r="E693" s="10" t="n">
        <x:v>5000</x:v>
      </x:c>
      <x:c r="F693" s="10" t="n">
        <x:v>5000</x:v>
      </x:c>
      <x:c r="G693" s="8" t="n">
        <x:f>INDEX('Órdenes'!$B$7:$B$334,MATCH(A693,'Órdenes'!$A$7:$A$334,0))</x:f>
        <x:v>46207</x:v>
      </x:c>
      <x:c r="H693" s="11" t="n">
        <x:f>DATE(YEAR(G693),MONTH(G693),1)</x:f>
        <x:v>46204</x:v>
      </x:c>
    </x:row>
    <x:row r="694" ht="23" customHeight="1">
      <x:c r="A694" s="2" t="str">
        <x:v>SIM-202607-012</x:v>
      </x:c>
      <x:c r="B694" s="2" t="str">
        <x:v>Hamburguesa especial</x:v>
      </x:c>
      <x:c r="C694" s="2" t="str"/>
      <x:c r="D694" s="2" t="n">
        <x:v>2</x:v>
      </x:c>
      <x:c r="E694" s="10" t="n">
        <x:v>20000</x:v>
      </x:c>
      <x:c r="F694" s="10" t="n">
        <x:v>40000</x:v>
      </x:c>
      <x:c r="G694" s="8" t="n">
        <x:f>INDEX('Órdenes'!$B$7:$B$334,MATCH(A694,'Órdenes'!$A$7:$A$334,0))</x:f>
        <x:v>46208</x:v>
      </x:c>
      <x:c r="H694" s="11" t="n">
        <x:f>DATE(YEAR(G694),MONTH(G694),1)</x:f>
        <x:v>46204</x:v>
      </x:c>
    </x:row>
    <x:row r="695" ht="23" customHeight="1">
      <x:c r="A695" s="2" t="str">
        <x:v>SIM-202607-012</x:v>
      </x:c>
      <x:c r="B695" s="2" t="str">
        <x:v>Gaseosas</x:v>
      </x:c>
      <x:c r="C695" s="2" t="str">
        <x:v>Coca-Cola</x:v>
      </x:c>
      <x:c r="D695" s="2" t="n">
        <x:v>1</x:v>
      </x:c>
      <x:c r="E695" s="10" t="n">
        <x:v>5000</x:v>
      </x:c>
      <x:c r="F695" s="10" t="n">
        <x:v>5000</x:v>
      </x:c>
      <x:c r="G695" s="8" t="n">
        <x:f>INDEX('Órdenes'!$B$7:$B$334,MATCH(A695,'Órdenes'!$A$7:$A$334,0))</x:f>
        <x:v>46208</x:v>
      </x:c>
      <x:c r="H695" s="11" t="n">
        <x:f>DATE(YEAR(G695),MONTH(G695),1)</x:f>
        <x:v>46204</x:v>
      </x:c>
    </x:row>
    <x:row r="696" ht="23" customHeight="1">
      <x:c r="A696" s="2" t="str">
        <x:v>SIM-202607-013</x:v>
      </x:c>
      <x:c r="B696" s="2" t="str">
        <x:v>Hamburguesa especial</x:v>
      </x:c>
      <x:c r="C696" s="2" t="str"/>
      <x:c r="D696" s="2" t="n">
        <x:v>1</x:v>
      </x:c>
      <x:c r="E696" s="10" t="n">
        <x:v>20000</x:v>
      </x:c>
      <x:c r="F696" s="10" t="n">
        <x:v>20000</x:v>
      </x:c>
      <x:c r="G696" s="8" t="n">
        <x:f>INDEX('Órdenes'!$B$7:$B$334,MATCH(A696,'Órdenes'!$A$7:$A$334,0))</x:f>
        <x:v>46208</x:v>
      </x:c>
      <x:c r="H696" s="11" t="n">
        <x:f>DATE(YEAR(G696),MONTH(G696),1)</x:f>
        <x:v>46204</x:v>
      </x:c>
    </x:row>
    <x:row r="697" ht="23" customHeight="1">
      <x:c r="A697" s="2" t="str">
        <x:v>SIM-202607-013</x:v>
      </x:c>
      <x:c r="B697" s="2" t="str">
        <x:v>Salchipapas</x:v>
      </x:c>
      <x:c r="C697" s="2" t="str"/>
      <x:c r="D697" s="2" t="n">
        <x:v>1</x:v>
      </x:c>
      <x:c r="E697" s="10" t="n">
        <x:v>12000</x:v>
      </x:c>
      <x:c r="F697" s="10" t="n">
        <x:v>12000</x:v>
      </x:c>
      <x:c r="G697" s="8" t="n">
        <x:f>INDEX('Órdenes'!$B$7:$B$334,MATCH(A697,'Órdenes'!$A$7:$A$334,0))</x:f>
        <x:v>46208</x:v>
      </x:c>
      <x:c r="H697" s="11" t="n">
        <x:f>DATE(YEAR(G697),MONTH(G697),1)</x:f>
        <x:v>46204</x:v>
      </x:c>
    </x:row>
    <x:row r="698" ht="23" customHeight="1">
      <x:c r="A698" s="2" t="str">
        <x:v>SIM-202607-013</x:v>
      </x:c>
      <x:c r="B698" s="2" t="str">
        <x:v>Gaseosas</x:v>
      </x:c>
      <x:c r="C698" s="2" t="str">
        <x:v>Sprite</x:v>
      </x:c>
      <x:c r="D698" s="2" t="n">
        <x:v>1</x:v>
      </x:c>
      <x:c r="E698" s="10" t="n">
        <x:v>5000</x:v>
      </x:c>
      <x:c r="F698" s="10" t="n">
        <x:v>5000</x:v>
      </x:c>
      <x:c r="G698" s="8" t="n">
        <x:f>INDEX('Órdenes'!$B$7:$B$334,MATCH(A698,'Órdenes'!$A$7:$A$334,0))</x:f>
        <x:v>46208</x:v>
      </x:c>
      <x:c r="H698" s="11" t="n">
        <x:f>DATE(YEAR(G698),MONTH(G698),1)</x:f>
        <x:v>46204</x:v>
      </x:c>
    </x:row>
    <x:row r="699" ht="23" customHeight="1">
      <x:c r="A699" s="2" t="str">
        <x:v>SIM-202607-014</x:v>
      </x:c>
      <x:c r="B699" s="2" t="str">
        <x:v>Perro caliente</x:v>
      </x:c>
      <x:c r="C699" s="2" t="str"/>
      <x:c r="D699" s="2" t="n">
        <x:v>1</x:v>
      </x:c>
      <x:c r="E699" s="10" t="n">
        <x:v>13000</x:v>
      </x:c>
      <x:c r="F699" s="10" t="n">
        <x:v>13000</x:v>
      </x:c>
      <x:c r="G699" s="8" t="n">
        <x:f>INDEX('Órdenes'!$B$7:$B$334,MATCH(A699,'Órdenes'!$A$7:$A$334,0))</x:f>
        <x:v>46210</x:v>
      </x:c>
      <x:c r="H699" s="11" t="n">
        <x:f>DATE(YEAR(G699),MONTH(G699),1)</x:f>
        <x:v>46204</x:v>
      </x:c>
    </x:row>
    <x:row r="700" ht="23" customHeight="1">
      <x:c r="A700" s="2" t="str">
        <x:v>SIM-202607-015</x:v>
      </x:c>
      <x:c r="B700" s="2" t="str">
        <x:v>Perro caliente</x:v>
      </x:c>
      <x:c r="C700" s="2" t="str"/>
      <x:c r="D700" s="2" t="n">
        <x:v>1</x:v>
      </x:c>
      <x:c r="E700" s="10" t="n">
        <x:v>13000</x:v>
      </x:c>
      <x:c r="F700" s="10" t="n">
        <x:v>13000</x:v>
      </x:c>
      <x:c r="G700" s="8" t="n">
        <x:f>INDEX('Órdenes'!$B$7:$B$334,MATCH(A700,'Órdenes'!$A$7:$A$334,0))</x:f>
        <x:v>46212</x:v>
      </x:c>
      <x:c r="H700" s="11" t="n">
        <x:f>DATE(YEAR(G700),MONTH(G700),1)</x:f>
        <x:v>46204</x:v>
      </x:c>
    </x:row>
    <x:row r="701" ht="23" customHeight="1">
      <x:c r="A701" s="2" t="str">
        <x:v>SIM-202607-016</x:v>
      </x:c>
      <x:c r="B701" s="2" t="str">
        <x:v>Hamburguesa Clásica</x:v>
      </x:c>
      <x:c r="C701" s="2" t="str"/>
      <x:c r="D701" s="2" t="n">
        <x:v>2</x:v>
      </x:c>
      <x:c r="E701" s="10" t="n">
        <x:v>15000</x:v>
      </x:c>
      <x:c r="F701" s="10" t="n">
        <x:v>30000</x:v>
      </x:c>
      <x:c r="G701" s="8" t="n">
        <x:f>INDEX('Órdenes'!$B$7:$B$334,MATCH(A701,'Órdenes'!$A$7:$A$334,0))</x:f>
        <x:v>46212</x:v>
      </x:c>
      <x:c r="H701" s="11" t="n">
        <x:f>DATE(YEAR(G701),MONTH(G701),1)</x:f>
        <x:v>46204</x:v>
      </x:c>
    </x:row>
    <x:row r="702" ht="23" customHeight="1">
      <x:c r="A702" s="2" t="str">
        <x:v>SIM-202607-016</x:v>
      </x:c>
      <x:c r="B702" s="2" t="str">
        <x:v>Gaseosas</x:v>
      </x:c>
      <x:c r="C702" s="2" t="str">
        <x:v>Coca-Cola</x:v>
      </x:c>
      <x:c r="D702" s="2" t="n">
        <x:v>1</x:v>
      </x:c>
      <x:c r="E702" s="10" t="n">
        <x:v>5000</x:v>
      </x:c>
      <x:c r="F702" s="10" t="n">
        <x:v>5000</x:v>
      </x:c>
      <x:c r="G702" s="8" t="n">
        <x:f>INDEX('Órdenes'!$B$7:$B$334,MATCH(A702,'Órdenes'!$A$7:$A$334,0))</x:f>
        <x:v>46212</x:v>
      </x:c>
      <x:c r="H702" s="11" t="n">
        <x:f>DATE(YEAR(G702),MONTH(G702),1)</x:f>
        <x:v>46204</x:v>
      </x:c>
    </x:row>
    <x:row r="703" ht="23" customHeight="1">
      <x:c r="A703" s="2" t="str">
        <x:v>SIM-202607-016</x:v>
      </x:c>
      <x:c r="B703" s="2" t="str">
        <x:v>Gaseosas</x:v>
      </x:c>
      <x:c r="C703" s="2" t="str">
        <x:v>Sprite</x:v>
      </x:c>
      <x:c r="D703" s="2" t="n">
        <x:v>1</x:v>
      </x:c>
      <x:c r="E703" s="10" t="n">
        <x:v>5000</x:v>
      </x:c>
      <x:c r="F703" s="10" t="n">
        <x:v>5000</x:v>
      </x:c>
      <x:c r="G703" s="8" t="n">
        <x:f>INDEX('Órdenes'!$B$7:$B$334,MATCH(A703,'Órdenes'!$A$7:$A$334,0))</x:f>
        <x:v>46212</x:v>
      </x:c>
      <x:c r="H703" s="11" t="n">
        <x:f>DATE(YEAR(G703),MONTH(G703),1)</x:f>
        <x:v>46204</x:v>
      </x:c>
    </x:row>
    <x:row r="704" ht="23" customHeight="1">
      <x:c r="A704" s="2" t="str">
        <x:v>SIM-202607-017</x:v>
      </x:c>
      <x:c r="B704" s="2" t="str">
        <x:v>Hamburguesa Clásica</x:v>
      </x:c>
      <x:c r="C704" s="2" t="str"/>
      <x:c r="D704" s="2" t="n">
        <x:v>1</x:v>
      </x:c>
      <x:c r="E704" s="10" t="n">
        <x:v>15000</x:v>
      </x:c>
      <x:c r="F704" s="10" t="n">
        <x:v>15000</x:v>
      </x:c>
      <x:c r="G704" s="8" t="n">
        <x:f>INDEX('Órdenes'!$B$7:$B$334,MATCH(A704,'Órdenes'!$A$7:$A$334,0))</x:f>
        <x:v>46213</x:v>
      </x:c>
      <x:c r="H704" s="11" t="n">
        <x:f>DATE(YEAR(G704),MONTH(G704),1)</x:f>
        <x:v>46204</x:v>
      </x:c>
    </x:row>
    <x:row r="705" ht="23" customHeight="1">
      <x:c r="A705" s="2" t="str">
        <x:v>SIM-202607-018</x:v>
      </x:c>
      <x:c r="B705" s="2" t="str">
        <x:v>Hamburguesa Clásica</x:v>
      </x:c>
      <x:c r="C705" s="2" t="str"/>
      <x:c r="D705" s="2" t="n">
        <x:v>2</x:v>
      </x:c>
      <x:c r="E705" s="10" t="n">
        <x:v>15000</x:v>
      </x:c>
      <x:c r="F705" s="10" t="n">
        <x:v>30000</x:v>
      </x:c>
      <x:c r="G705" s="8" t="n">
        <x:f>INDEX('Órdenes'!$B$7:$B$334,MATCH(A705,'Órdenes'!$A$7:$A$334,0))</x:f>
        <x:v>46213</x:v>
      </x:c>
      <x:c r="H705" s="11" t="n">
        <x:f>DATE(YEAR(G705),MONTH(G705),1)</x:f>
        <x:v>46204</x:v>
      </x:c>
    </x:row>
    <x:row r="706" ht="23" customHeight="1">
      <x:c r="A706" s="2" t="str">
        <x:v>SIM-202607-018</x:v>
      </x:c>
      <x:c r="B706" s="2" t="str">
        <x:v>Hamburguesa especial</x:v>
      </x:c>
      <x:c r="C706" s="2" t="str"/>
      <x:c r="D706" s="2" t="n">
        <x:v>1</x:v>
      </x:c>
      <x:c r="E706" s="10" t="n">
        <x:v>20000</x:v>
      </x:c>
      <x:c r="F706" s="10" t="n">
        <x:v>20000</x:v>
      </x:c>
      <x:c r="G706" s="8" t="n">
        <x:f>INDEX('Órdenes'!$B$7:$B$334,MATCH(A706,'Órdenes'!$A$7:$A$334,0))</x:f>
        <x:v>46213</x:v>
      </x:c>
      <x:c r="H706" s="11" t="n">
        <x:f>DATE(YEAR(G706),MONTH(G706),1)</x:f>
        <x:v>46204</x:v>
      </x:c>
    </x:row>
    <x:row r="707" ht="23" customHeight="1">
      <x:c r="A707" s="2" t="str">
        <x:v>SIM-202607-018</x:v>
      </x:c>
      <x:c r="B707" s="2" t="str">
        <x:v>Perro caliente</x:v>
      </x:c>
      <x:c r="C707" s="2" t="str"/>
      <x:c r="D707" s="2" t="n">
        <x:v>1</x:v>
      </x:c>
      <x:c r="E707" s="10" t="n">
        <x:v>13000</x:v>
      </x:c>
      <x:c r="F707" s="10" t="n">
        <x:v>13000</x:v>
      </x:c>
      <x:c r="G707" s="8" t="n">
        <x:f>INDEX('Órdenes'!$B$7:$B$334,MATCH(A707,'Órdenes'!$A$7:$A$334,0))</x:f>
        <x:v>46213</x:v>
      </x:c>
      <x:c r="H707" s="11" t="n">
        <x:f>DATE(YEAR(G707),MONTH(G707),1)</x:f>
        <x:v>46204</x:v>
      </x:c>
    </x:row>
    <x:row r="708" ht="23" customHeight="1">
      <x:c r="A708" s="2" t="str">
        <x:v>SIM-202607-018</x:v>
      </x:c>
      <x:c r="B708" s="2" t="str">
        <x:v>Gaseosas</x:v>
      </x:c>
      <x:c r="C708" s="2" t="str">
        <x:v>Coca-Cola</x:v>
      </x:c>
      <x:c r="D708" s="2" t="n">
        <x:v>2</x:v>
      </x:c>
      <x:c r="E708" s="10" t="n">
        <x:v>5000</x:v>
      </x:c>
      <x:c r="F708" s="10" t="n">
        <x:v>10000</x:v>
      </x:c>
      <x:c r="G708" s="8" t="n">
        <x:f>INDEX('Órdenes'!$B$7:$B$334,MATCH(A708,'Órdenes'!$A$7:$A$334,0))</x:f>
        <x:v>46213</x:v>
      </x:c>
      <x:c r="H708" s="11" t="n">
        <x:f>DATE(YEAR(G708),MONTH(G708),1)</x:f>
        <x:v>46204</x:v>
      </x:c>
    </x:row>
    <x:row r="709" ht="23" customHeight="1">
      <x:c r="A709" s="2" t="str">
        <x:v>SIM-202607-018</x:v>
      </x:c>
      <x:c r="B709" s="2" t="str">
        <x:v>Gaseosas</x:v>
      </x:c>
      <x:c r="C709" s="2" t="str">
        <x:v>Sprite</x:v>
      </x:c>
      <x:c r="D709" s="2" t="n">
        <x:v>1</x:v>
      </x:c>
      <x:c r="E709" s="10" t="n">
        <x:v>5000</x:v>
      </x:c>
      <x:c r="F709" s="10" t="n">
        <x:v>5000</x:v>
      </x:c>
      <x:c r="G709" s="8" t="n">
        <x:f>INDEX('Órdenes'!$B$7:$B$334,MATCH(A709,'Órdenes'!$A$7:$A$334,0))</x:f>
        <x:v>46213</x:v>
      </x:c>
      <x:c r="H709" s="11" t="n">
        <x:f>DATE(YEAR(G709),MONTH(G709),1)</x:f>
        <x:v>46204</x:v>
      </x:c>
    </x:row>
    <x:row r="710" ht="23" customHeight="1">
      <x:c r="A710" s="2" t="str">
        <x:v>SIM-202607-019</x:v>
      </x:c>
      <x:c r="B710" s="2" t="str">
        <x:v>Perro caliente</x:v>
      </x:c>
      <x:c r="C710" s="2" t="str"/>
      <x:c r="D710" s="2" t="n">
        <x:v>1</x:v>
      </x:c>
      <x:c r="E710" s="10" t="n">
        <x:v>13000</x:v>
      </x:c>
      <x:c r="F710" s="10" t="n">
        <x:v>13000</x:v>
      </x:c>
      <x:c r="G710" s="8" t="n">
        <x:f>INDEX('Órdenes'!$B$7:$B$334,MATCH(A710,'Órdenes'!$A$7:$A$334,0))</x:f>
        <x:v>46214</x:v>
      </x:c>
      <x:c r="H710" s="11" t="n">
        <x:f>DATE(YEAR(G710),MONTH(G710),1)</x:f>
        <x:v>46204</x:v>
      </x:c>
    </x:row>
    <x:row r="711" ht="23" customHeight="1">
      <x:c r="A711" s="2" t="str">
        <x:v>SIM-202607-019</x:v>
      </x:c>
      <x:c r="B711" s="2" t="str">
        <x:v>Gaseosas</x:v>
      </x:c>
      <x:c r="C711" s="2" t="str">
        <x:v>Coca-Cola</x:v>
      </x:c>
      <x:c r="D711" s="2" t="n">
        <x:v>1</x:v>
      </x:c>
      <x:c r="E711" s="10" t="n">
        <x:v>5000</x:v>
      </x:c>
      <x:c r="F711" s="10" t="n">
        <x:v>5000</x:v>
      </x:c>
      <x:c r="G711" s="8" t="n">
        <x:f>INDEX('Órdenes'!$B$7:$B$334,MATCH(A711,'Órdenes'!$A$7:$A$334,0))</x:f>
        <x:v>46214</x:v>
      </x:c>
      <x:c r="H711" s="11" t="n">
        <x:f>DATE(YEAR(G711),MONTH(G711),1)</x:f>
        <x:v>46204</x:v>
      </x:c>
    </x:row>
    <x:row r="712" ht="23" customHeight="1">
      <x:c r="A712" s="2" t="str">
        <x:v>SIM-202607-020</x:v>
      </x:c>
      <x:c r="B712" s="2" t="str">
        <x:v>Hamburguesa Clásica</x:v>
      </x:c>
      <x:c r="C712" s="2" t="str"/>
      <x:c r="D712" s="2" t="n">
        <x:v>2</x:v>
      </x:c>
      <x:c r="E712" s="10" t="n">
        <x:v>15000</x:v>
      </x:c>
      <x:c r="F712" s="10" t="n">
        <x:v>30000</x:v>
      </x:c>
      <x:c r="G712" s="8" t="n">
        <x:f>INDEX('Órdenes'!$B$7:$B$334,MATCH(A712,'Órdenes'!$A$7:$A$334,0))</x:f>
        <x:v>46214</x:v>
      </x:c>
      <x:c r="H712" s="11" t="n">
        <x:f>DATE(YEAR(G712),MONTH(G712),1)</x:f>
        <x:v>46204</x:v>
      </x:c>
    </x:row>
    <x:row r="713" ht="23" customHeight="1">
      <x:c r="A713" s="2" t="str">
        <x:v>SIM-202607-020</x:v>
      </x:c>
      <x:c r="B713" s="2" t="str">
        <x:v>Hamburguesa especial</x:v>
      </x:c>
      <x:c r="C713" s="2" t="str"/>
      <x:c r="D713" s="2" t="n">
        <x:v>1</x:v>
      </x:c>
      <x:c r="E713" s="10" t="n">
        <x:v>20000</x:v>
      </x:c>
      <x:c r="F713" s="10" t="n">
        <x:v>20000</x:v>
      </x:c>
      <x:c r="G713" s="8" t="n">
        <x:f>INDEX('Órdenes'!$B$7:$B$334,MATCH(A713,'Órdenes'!$A$7:$A$334,0))</x:f>
        <x:v>46214</x:v>
      </x:c>
      <x:c r="H713" s="11" t="n">
        <x:f>DATE(YEAR(G713),MONTH(G713),1)</x:f>
        <x:v>46204</x:v>
      </x:c>
    </x:row>
    <x:row r="714" ht="23" customHeight="1">
      <x:c r="A714" s="2" t="str">
        <x:v>SIM-202607-020</x:v>
      </x:c>
      <x:c r="B714" s="2" t="str">
        <x:v>Gaseosas</x:v>
      </x:c>
      <x:c r="C714" s="2" t="str">
        <x:v>Coca-Cola</x:v>
      </x:c>
      <x:c r="D714" s="2" t="n">
        <x:v>3</x:v>
      </x:c>
      <x:c r="E714" s="10" t="n">
        <x:v>5000</x:v>
      </x:c>
      <x:c r="F714" s="10" t="n">
        <x:v>15000</x:v>
      </x:c>
      <x:c r="G714" s="8" t="n">
        <x:f>INDEX('Órdenes'!$B$7:$B$334,MATCH(A714,'Órdenes'!$A$7:$A$334,0))</x:f>
        <x:v>46214</x:v>
      </x:c>
      <x:c r="H714" s="11" t="n">
        <x:f>DATE(YEAR(G714),MONTH(G714),1)</x:f>
        <x:v>46204</x:v>
      </x:c>
    </x:row>
    <x:row r="715" ht="23" customHeight="1">
      <x:c r="A715" s="2" t="str">
        <x:v>SIM-202607-021</x:v>
      </x:c>
      <x:c r="B715" s="2" t="str">
        <x:v>Perro caliente</x:v>
      </x:c>
      <x:c r="C715" s="2" t="str"/>
      <x:c r="D715" s="2" t="n">
        <x:v>1</x:v>
      </x:c>
      <x:c r="E715" s="10" t="n">
        <x:v>13000</x:v>
      </x:c>
      <x:c r="F715" s="10" t="n">
        <x:v>13000</x:v>
      </x:c>
      <x:c r="G715" s="8" t="n">
        <x:f>INDEX('Órdenes'!$B$7:$B$334,MATCH(A715,'Órdenes'!$A$7:$A$334,0))</x:f>
        <x:v>46214</x:v>
      </x:c>
      <x:c r="H715" s="11" t="n">
        <x:f>DATE(YEAR(G715),MONTH(G715),1)</x:f>
        <x:v>46204</x:v>
      </x:c>
    </x:row>
    <x:row r="716" ht="23" customHeight="1">
      <x:c r="A716" s="2" t="str">
        <x:v>SIM-202607-021</x:v>
      </x:c>
      <x:c r="B716" s="2" t="str">
        <x:v>Gaseosas</x:v>
      </x:c>
      <x:c r="C716" s="2" t="str">
        <x:v>Sprite</x:v>
      </x:c>
      <x:c r="D716" s="2" t="n">
        <x:v>1</x:v>
      </x:c>
      <x:c r="E716" s="10" t="n">
        <x:v>5000</x:v>
      </x:c>
      <x:c r="F716" s="10" t="n">
        <x:v>5000</x:v>
      </x:c>
      <x:c r="G716" s="8" t="n">
        <x:f>INDEX('Órdenes'!$B$7:$B$334,MATCH(A716,'Órdenes'!$A$7:$A$334,0))</x:f>
        <x:v>46214</x:v>
      </x:c>
      <x:c r="H716" s="11" t="n">
        <x:f>DATE(YEAR(G716),MONTH(G716),1)</x:f>
        <x:v>46204</x:v>
      </x:c>
    </x:row>
    <x:row r="717" ht="23" customHeight="1">
      <x:c r="A717" s="2" t="str">
        <x:v>SIM-202607-022</x:v>
      </x:c>
      <x:c r="B717" s="2" t="str">
        <x:v>Hamburguesa Clásica</x:v>
      </x:c>
      <x:c r="C717" s="2" t="str"/>
      <x:c r="D717" s="2" t="n">
        <x:v>1</x:v>
      </x:c>
      <x:c r="E717" s="10" t="n">
        <x:v>15000</x:v>
      </x:c>
      <x:c r="F717" s="10" t="n">
        <x:v>15000</x:v>
      </x:c>
      <x:c r="G717" s="8" t="n">
        <x:f>INDEX('Órdenes'!$B$7:$B$334,MATCH(A717,'Órdenes'!$A$7:$A$334,0))</x:f>
        <x:v>46214</x:v>
      </x:c>
      <x:c r="H717" s="11" t="n">
        <x:f>DATE(YEAR(G717),MONTH(G717),1)</x:f>
        <x:v>46204</x:v>
      </x:c>
    </x:row>
    <x:row r="718" ht="23" customHeight="1">
      <x:c r="A718" s="2" t="str">
        <x:v>SIM-202607-022</x:v>
      </x:c>
      <x:c r="B718" s="2" t="str">
        <x:v>Salchipapas</x:v>
      </x:c>
      <x:c r="C718" s="2" t="str"/>
      <x:c r="D718" s="2" t="n">
        <x:v>1</x:v>
      </x:c>
      <x:c r="E718" s="10" t="n">
        <x:v>12000</x:v>
      </x:c>
      <x:c r="F718" s="10" t="n">
        <x:v>12000</x:v>
      </x:c>
      <x:c r="G718" s="8" t="n">
        <x:f>INDEX('Órdenes'!$B$7:$B$334,MATCH(A718,'Órdenes'!$A$7:$A$334,0))</x:f>
        <x:v>46214</x:v>
      </x:c>
      <x:c r="H718" s="11" t="n">
        <x:f>DATE(YEAR(G718),MONTH(G718),1)</x:f>
        <x:v>46204</x:v>
      </x:c>
    </x:row>
    <x:row r="719" ht="23" customHeight="1">
      <x:c r="A719" s="2" t="str">
        <x:v>SIM-202607-022</x:v>
      </x:c>
      <x:c r="B719" s="2" t="str">
        <x:v>Gaseosas</x:v>
      </x:c>
      <x:c r="C719" s="2" t="str">
        <x:v>Coca-Cola</x:v>
      </x:c>
      <x:c r="D719" s="2" t="n">
        <x:v>1</x:v>
      </x:c>
      <x:c r="E719" s="10" t="n">
        <x:v>5000</x:v>
      </x:c>
      <x:c r="F719" s="10" t="n">
        <x:v>5000</x:v>
      </x:c>
      <x:c r="G719" s="8" t="n">
        <x:f>INDEX('Órdenes'!$B$7:$B$334,MATCH(A719,'Órdenes'!$A$7:$A$334,0))</x:f>
        <x:v>46214</x:v>
      </x:c>
      <x:c r="H719" s="11" t="n">
        <x:f>DATE(YEAR(G719),MONTH(G719),1)</x:f>
        <x:v>46204</x:v>
      </x:c>
    </x:row>
    <x:row r="720" ht="23" customHeight="1">
      <x:c r="A720" s="2" t="str">
        <x:v>SIM-202607-023</x:v>
      </x:c>
      <x:c r="B720" s="2" t="str">
        <x:v>Salchipapas</x:v>
      </x:c>
      <x:c r="C720" s="2" t="str"/>
      <x:c r="D720" s="2" t="n">
        <x:v>1</x:v>
      </x:c>
      <x:c r="E720" s="10" t="n">
        <x:v>12000</x:v>
      </x:c>
      <x:c r="F720" s="10" t="n">
        <x:v>12000</x:v>
      </x:c>
      <x:c r="G720" s="8" t="n">
        <x:f>INDEX('Órdenes'!$B$7:$B$334,MATCH(A720,'Órdenes'!$A$7:$A$334,0))</x:f>
        <x:v>46215</x:v>
      </x:c>
      <x:c r="H720" s="11" t="n">
        <x:f>DATE(YEAR(G720),MONTH(G720),1)</x:f>
        <x:v>46204</x:v>
      </x:c>
    </x:row>
    <x:row r="721" ht="23" customHeight="1">
      <x:c r="A721" s="2" t="str">
        <x:v>SIM-202607-023</x:v>
      </x:c>
      <x:c r="B721" s="2" t="str">
        <x:v>Gaseosas</x:v>
      </x:c>
      <x:c r="C721" s="2" t="str">
        <x:v>Sprite</x:v>
      </x:c>
      <x:c r="D721" s="2" t="n">
        <x:v>1</x:v>
      </x:c>
      <x:c r="E721" s="10" t="n">
        <x:v>5000</x:v>
      </x:c>
      <x:c r="F721" s="10" t="n">
        <x:v>5000</x:v>
      </x:c>
      <x:c r="G721" s="8" t="n">
        <x:f>INDEX('Órdenes'!$B$7:$B$334,MATCH(A721,'Órdenes'!$A$7:$A$334,0))</x:f>
        <x:v>46215</x:v>
      </x:c>
      <x:c r="H721" s="11" t="n">
        <x:f>DATE(YEAR(G721),MONTH(G721),1)</x:f>
        <x:v>46204</x:v>
      </x:c>
    </x:row>
    <x:row r="722" ht="23" customHeight="1">
      <x:c r="A722" s="2" t="str">
        <x:v>SIM-202607-024</x:v>
      </x:c>
      <x:c r="B722" s="2" t="str">
        <x:v>Perro caliente</x:v>
      </x:c>
      <x:c r="C722" s="2" t="str"/>
      <x:c r="D722" s="2" t="n">
        <x:v>1</x:v>
      </x:c>
      <x:c r="E722" s="10" t="n">
        <x:v>13000</x:v>
      </x:c>
      <x:c r="F722" s="10" t="n">
        <x:v>13000</x:v>
      </x:c>
      <x:c r="G722" s="8" t="n">
        <x:f>INDEX('Órdenes'!$B$7:$B$334,MATCH(A722,'Órdenes'!$A$7:$A$334,0))</x:f>
        <x:v>46215</x:v>
      </x:c>
      <x:c r="H722" s="11" t="n">
        <x:f>DATE(YEAR(G722),MONTH(G722),1)</x:f>
        <x:v>46204</x:v>
      </x:c>
    </x:row>
    <x:row r="723" ht="23" customHeight="1">
      <x:c r="A723" s="2" t="str">
        <x:v>SIM-202607-024</x:v>
      </x:c>
      <x:c r="B723" s="2" t="str">
        <x:v>Gaseosas</x:v>
      </x:c>
      <x:c r="C723" s="2" t="str">
        <x:v>Manzana</x:v>
      </x:c>
      <x:c r="D723" s="2" t="n">
        <x:v>1</x:v>
      </x:c>
      <x:c r="E723" s="10" t="n">
        <x:v>5000</x:v>
      </x:c>
      <x:c r="F723" s="10" t="n">
        <x:v>5000</x:v>
      </x:c>
      <x:c r="G723" s="8" t="n">
        <x:f>INDEX('Órdenes'!$B$7:$B$334,MATCH(A723,'Órdenes'!$A$7:$A$334,0))</x:f>
        <x:v>46215</x:v>
      </x:c>
      <x:c r="H723" s="11" t="n">
        <x:f>DATE(YEAR(G723),MONTH(G723),1)</x:f>
        <x:v>46204</x:v>
      </x:c>
    </x:row>
    <x:row r="724" ht="23" customHeight="1">
      <x:c r="A724" s="2" t="str">
        <x:v>SIM-202607-025</x:v>
      </x:c>
      <x:c r="B724" s="2" t="str">
        <x:v>Hamburguesa Clásica</x:v>
      </x:c>
      <x:c r="C724" s="2" t="str"/>
      <x:c r="D724" s="2" t="n">
        <x:v>1</x:v>
      </x:c>
      <x:c r="E724" s="10" t="n">
        <x:v>15000</x:v>
      </x:c>
      <x:c r="F724" s="10" t="n">
        <x:v>15000</x:v>
      </x:c>
      <x:c r="G724" s="8" t="n">
        <x:f>INDEX('Órdenes'!$B$7:$B$334,MATCH(A724,'Órdenes'!$A$7:$A$334,0))</x:f>
        <x:v>46217</x:v>
      </x:c>
      <x:c r="H724" s="11" t="n">
        <x:f>DATE(YEAR(G724),MONTH(G724),1)</x:f>
        <x:v>46204</x:v>
      </x:c>
    </x:row>
    <x:row r="725" ht="23" customHeight="1">
      <x:c r="A725" s="2" t="str">
        <x:v>SIM-202607-026</x:v>
      </x:c>
      <x:c r="B725" s="2" t="str">
        <x:v>Hamburguesa especial</x:v>
      </x:c>
      <x:c r="C725" s="2" t="str"/>
      <x:c r="D725" s="2" t="n">
        <x:v>1</x:v>
      </x:c>
      <x:c r="E725" s="10" t="n">
        <x:v>20000</x:v>
      </x:c>
      <x:c r="F725" s="10" t="n">
        <x:v>20000</x:v>
      </x:c>
      <x:c r="G725" s="8" t="n">
        <x:f>INDEX('Órdenes'!$B$7:$B$334,MATCH(A725,'Órdenes'!$A$7:$A$334,0))</x:f>
        <x:v>46218</x:v>
      </x:c>
      <x:c r="H725" s="11" t="n">
        <x:f>DATE(YEAR(G725),MONTH(G725),1)</x:f>
        <x:v>46204</x:v>
      </x:c>
    </x:row>
    <x:row r="726" ht="23" customHeight="1">
      <x:c r="A726" s="2" t="str">
        <x:v>SIM-202607-026</x:v>
      </x:c>
      <x:c r="B726" s="2" t="str">
        <x:v>Gaseosas</x:v>
      </x:c>
      <x:c r="C726" s="2" t="str">
        <x:v>Manzana</x:v>
      </x:c>
      <x:c r="D726" s="2" t="n">
        <x:v>1</x:v>
      </x:c>
      <x:c r="E726" s="10" t="n">
        <x:v>5000</x:v>
      </x:c>
      <x:c r="F726" s="10" t="n">
        <x:v>5000</x:v>
      </x:c>
      <x:c r="G726" s="8" t="n">
        <x:f>INDEX('Órdenes'!$B$7:$B$334,MATCH(A726,'Órdenes'!$A$7:$A$334,0))</x:f>
        <x:v>46218</x:v>
      </x:c>
      <x:c r="H726" s="11" t="n">
        <x:f>DATE(YEAR(G726),MONTH(G726),1)</x:f>
        <x:v>46204</x:v>
      </x:c>
    </x:row>
    <x:row r="727" ht="23" customHeight="1">
      <x:c r="A727" s="2" t="str">
        <x:v>SIM-202607-027</x:v>
      </x:c>
      <x:c r="B727" s="2" t="str">
        <x:v>Hamburguesa Clásica</x:v>
      </x:c>
      <x:c r="C727" s="2" t="str"/>
      <x:c r="D727" s="2" t="n">
        <x:v>1</x:v>
      </x:c>
      <x:c r="E727" s="10" t="n">
        <x:v>15000</x:v>
      </x:c>
      <x:c r="F727" s="10" t="n">
        <x:v>15000</x:v>
      </x:c>
      <x:c r="G727" s="8" t="n">
        <x:f>INDEX('Órdenes'!$B$7:$B$334,MATCH(A727,'Órdenes'!$A$7:$A$334,0))</x:f>
        <x:v>46220</x:v>
      </x:c>
      <x:c r="H727" s="11" t="n">
        <x:f>DATE(YEAR(G727),MONTH(G727),1)</x:f>
        <x:v>46204</x:v>
      </x:c>
    </x:row>
    <x:row r="728" ht="23" customHeight="1">
      <x:c r="A728" s="2" t="str">
        <x:v>SIM-202607-027</x:v>
      </x:c>
      <x:c r="B728" s="2" t="str">
        <x:v>Hamburguesa especial</x:v>
      </x:c>
      <x:c r="C728" s="2" t="str"/>
      <x:c r="D728" s="2" t="n">
        <x:v>1</x:v>
      </x:c>
      <x:c r="E728" s="10" t="n">
        <x:v>20000</x:v>
      </x:c>
      <x:c r="F728" s="10" t="n">
        <x:v>20000</x:v>
      </x:c>
      <x:c r="G728" s="8" t="n">
        <x:f>INDEX('Órdenes'!$B$7:$B$334,MATCH(A728,'Órdenes'!$A$7:$A$334,0))</x:f>
        <x:v>46220</x:v>
      </x:c>
      <x:c r="H728" s="11" t="n">
        <x:f>DATE(YEAR(G728),MONTH(G728),1)</x:f>
        <x:v>46204</x:v>
      </x:c>
    </x:row>
    <x:row r="729" ht="23" customHeight="1">
      <x:c r="A729" s="2" t="str">
        <x:v>SIM-202607-027</x:v>
      </x:c>
      <x:c r="B729" s="2" t="str">
        <x:v>Gaseosas</x:v>
      </x:c>
      <x:c r="C729" s="2" t="str">
        <x:v>Coca-Cola</x:v>
      </x:c>
      <x:c r="D729" s="2" t="n">
        <x:v>1</x:v>
      </x:c>
      <x:c r="E729" s="10" t="n">
        <x:v>5000</x:v>
      </x:c>
      <x:c r="F729" s="10" t="n">
        <x:v>5000</x:v>
      </x:c>
      <x:c r="G729" s="8" t="n">
        <x:f>INDEX('Órdenes'!$B$7:$B$334,MATCH(A729,'Órdenes'!$A$7:$A$334,0))</x:f>
        <x:v>46220</x:v>
      </x:c>
      <x:c r="H729" s="11" t="n">
        <x:f>DATE(YEAR(G729),MONTH(G729),1)</x:f>
        <x:v>46204</x:v>
      </x:c>
    </x:row>
    <x:row r="730" ht="23" customHeight="1">
      <x:c r="A730" s="2" t="str">
        <x:v>SIM-202607-028</x:v>
      </x:c>
      <x:c r="B730" s="2" t="str">
        <x:v>Hamburguesa Clásica</x:v>
      </x:c>
      <x:c r="C730" s="2" t="str"/>
      <x:c r="D730" s="2" t="n">
        <x:v>1</x:v>
      </x:c>
      <x:c r="E730" s="10" t="n">
        <x:v>15000</x:v>
      </x:c>
      <x:c r="F730" s="10" t="n">
        <x:v>15000</x:v>
      </x:c>
      <x:c r="G730" s="8" t="n">
        <x:f>INDEX('Órdenes'!$B$7:$B$334,MATCH(A730,'Órdenes'!$A$7:$A$334,0))</x:f>
        <x:v>46221</x:v>
      </x:c>
      <x:c r="H730" s="11" t="n">
        <x:f>DATE(YEAR(G730),MONTH(G730),1)</x:f>
        <x:v>46204</x:v>
      </x:c>
    </x:row>
    <x:row r="731" ht="23" customHeight="1">
      <x:c r="A731" s="2" t="str">
        <x:v>SIM-202607-028</x:v>
      </x:c>
      <x:c r="B731" s="2" t="str">
        <x:v>Gaseosas</x:v>
      </x:c>
      <x:c r="C731" s="2" t="str">
        <x:v>Coca-Cola</x:v>
      </x:c>
      <x:c r="D731" s="2" t="n">
        <x:v>1</x:v>
      </x:c>
      <x:c r="E731" s="10" t="n">
        <x:v>5000</x:v>
      </x:c>
      <x:c r="F731" s="10" t="n">
        <x:v>5000</x:v>
      </x:c>
      <x:c r="G731" s="8" t="n">
        <x:f>INDEX('Órdenes'!$B$7:$B$334,MATCH(A731,'Órdenes'!$A$7:$A$334,0))</x:f>
        <x:v>46221</x:v>
      </x:c>
      <x:c r="H731" s="11" t="n">
        <x:f>DATE(YEAR(G731),MONTH(G731),1)</x:f>
        <x:v>46204</x:v>
      </x:c>
    </x:row>
    <x:row r="732" ht="23" customHeight="1">
      <x:c r="A732" s="2" t="str">
        <x:v>SIM-202607-029</x:v>
      </x:c>
      <x:c r="B732" s="2" t="str">
        <x:v>Hamburguesa Clásica</x:v>
      </x:c>
      <x:c r="C732" s="2" t="str"/>
      <x:c r="D732" s="2" t="n">
        <x:v>1</x:v>
      </x:c>
      <x:c r="E732" s="10" t="n">
        <x:v>15000</x:v>
      </x:c>
      <x:c r="F732" s="10" t="n">
        <x:v>15000</x:v>
      </x:c>
      <x:c r="G732" s="8" t="n">
        <x:f>INDEX('Órdenes'!$B$7:$B$334,MATCH(A732,'Órdenes'!$A$7:$A$334,0))</x:f>
        <x:v>46221</x:v>
      </x:c>
      <x:c r="H732" s="11" t="n">
        <x:f>DATE(YEAR(G732),MONTH(G732),1)</x:f>
        <x:v>46204</x:v>
      </x:c>
    </x:row>
    <x:row r="733" ht="23" customHeight="1">
      <x:c r="A733" s="2" t="str">
        <x:v>SIM-202607-029</x:v>
      </x:c>
      <x:c r="B733" s="2" t="str">
        <x:v>Perro caliente</x:v>
      </x:c>
      <x:c r="C733" s="2" t="str"/>
      <x:c r="D733" s="2" t="n">
        <x:v>1</x:v>
      </x:c>
      <x:c r="E733" s="10" t="n">
        <x:v>13000</x:v>
      </x:c>
      <x:c r="F733" s="10" t="n">
        <x:v>13000</x:v>
      </x:c>
      <x:c r="G733" s="8" t="n">
        <x:f>INDEX('Órdenes'!$B$7:$B$334,MATCH(A733,'Órdenes'!$A$7:$A$334,0))</x:f>
        <x:v>46221</x:v>
      </x:c>
      <x:c r="H733" s="11" t="n">
        <x:f>DATE(YEAR(G733),MONTH(G733),1)</x:f>
        <x:v>46204</x:v>
      </x:c>
    </x:row>
    <x:row r="734" ht="23" customHeight="1">
      <x:c r="A734" s="2" t="str">
        <x:v>SIM-202607-029</x:v>
      </x:c>
      <x:c r="B734" s="2" t="str">
        <x:v>Salchipapas</x:v>
      </x:c>
      <x:c r="C734" s="2" t="str"/>
      <x:c r="D734" s="2" t="n">
        <x:v>1</x:v>
      </x:c>
      <x:c r="E734" s="10" t="n">
        <x:v>12000</x:v>
      </x:c>
      <x:c r="F734" s="10" t="n">
        <x:v>12000</x:v>
      </x:c>
      <x:c r="G734" s="8" t="n">
        <x:f>INDEX('Órdenes'!$B$7:$B$334,MATCH(A734,'Órdenes'!$A$7:$A$334,0))</x:f>
        <x:v>46221</x:v>
      </x:c>
      <x:c r="H734" s="11" t="n">
        <x:f>DATE(YEAR(G734),MONTH(G734),1)</x:f>
        <x:v>46204</x:v>
      </x:c>
    </x:row>
    <x:row r="735" ht="23" customHeight="1">
      <x:c r="A735" s="2" t="str">
        <x:v>SIM-202607-029</x:v>
      </x:c>
      <x:c r="B735" s="2" t="str">
        <x:v>Gaseosas</x:v>
      </x:c>
      <x:c r="C735" s="2" t="str">
        <x:v>Coca-Cola</x:v>
      </x:c>
      <x:c r="D735" s="2" t="n">
        <x:v>1</x:v>
      </x:c>
      <x:c r="E735" s="10" t="n">
        <x:v>5000</x:v>
      </x:c>
      <x:c r="F735" s="10" t="n">
        <x:v>5000</x:v>
      </x:c>
      <x:c r="G735" s="8" t="n">
        <x:f>INDEX('Órdenes'!$B$7:$B$334,MATCH(A735,'Órdenes'!$A$7:$A$334,0))</x:f>
        <x:v>46221</x:v>
      </x:c>
      <x:c r="H735" s="11" t="n">
        <x:f>DATE(YEAR(G735),MONTH(G735),1)</x:f>
        <x:v>46204</x:v>
      </x:c>
    </x:row>
    <x:row r="736" ht="23" customHeight="1">
      <x:c r="A736" s="2" t="str">
        <x:v>SIM-202607-030</x:v>
      </x:c>
      <x:c r="B736" s="2" t="str">
        <x:v>Hamburguesa Clásica</x:v>
      </x:c>
      <x:c r="C736" s="2" t="str"/>
      <x:c r="D736" s="2" t="n">
        <x:v>2</x:v>
      </x:c>
      <x:c r="E736" s="10" t="n">
        <x:v>15000</x:v>
      </x:c>
      <x:c r="F736" s="10" t="n">
        <x:v>30000</x:v>
      </x:c>
      <x:c r="G736" s="8" t="n">
        <x:f>INDEX('Órdenes'!$B$7:$B$334,MATCH(A736,'Órdenes'!$A$7:$A$334,0))</x:f>
        <x:v>46221</x:v>
      </x:c>
      <x:c r="H736" s="11" t="n">
        <x:f>DATE(YEAR(G736),MONTH(G736),1)</x:f>
        <x:v>46204</x:v>
      </x:c>
    </x:row>
    <x:row r="737" ht="23" customHeight="1">
      <x:c r="A737" s="2" t="str">
        <x:v>SIM-202607-030</x:v>
      </x:c>
      <x:c r="B737" s="2" t="str">
        <x:v>Gaseosas</x:v>
      </x:c>
      <x:c r="C737" s="2" t="str">
        <x:v>Sprite</x:v>
      </x:c>
      <x:c r="D737" s="2" t="n">
        <x:v>1</x:v>
      </x:c>
      <x:c r="E737" s="10" t="n">
        <x:v>5000</x:v>
      </x:c>
      <x:c r="F737" s="10" t="n">
        <x:v>5000</x:v>
      </x:c>
      <x:c r="G737" s="8" t="n">
        <x:f>INDEX('Órdenes'!$B$7:$B$334,MATCH(A737,'Órdenes'!$A$7:$A$334,0))</x:f>
        <x:v>46221</x:v>
      </x:c>
      <x:c r="H737" s="11" t="n">
        <x:f>DATE(YEAR(G737),MONTH(G737),1)</x:f>
        <x:v>46204</x:v>
      </x:c>
    </x:row>
    <x:row r="738" ht="23" customHeight="1">
      <x:c r="A738" s="2" t="str">
        <x:v>SIM-202607-031</x:v>
      </x:c>
      <x:c r="B738" s="2" t="str">
        <x:v>Hamburguesa Clásica</x:v>
      </x:c>
      <x:c r="C738" s="2" t="str"/>
      <x:c r="D738" s="2" t="n">
        <x:v>1</x:v>
      </x:c>
      <x:c r="E738" s="10" t="n">
        <x:v>15000</x:v>
      </x:c>
      <x:c r="F738" s="10" t="n">
        <x:v>15000</x:v>
      </x:c>
      <x:c r="G738" s="8" t="n">
        <x:f>INDEX('Órdenes'!$B$7:$B$334,MATCH(A738,'Órdenes'!$A$7:$A$334,0))</x:f>
        <x:v>46221</x:v>
      </x:c>
      <x:c r="H738" s="11" t="n">
        <x:f>DATE(YEAR(G738),MONTH(G738),1)</x:f>
        <x:v>46204</x:v>
      </x:c>
    </x:row>
    <x:row r="739" ht="23" customHeight="1">
      <x:c r="A739" s="2" t="str">
        <x:v>SIM-202607-031</x:v>
      </x:c>
      <x:c r="B739" s="2" t="str">
        <x:v>Salchipapas</x:v>
      </x:c>
      <x:c r="C739" s="2" t="str"/>
      <x:c r="D739" s="2" t="n">
        <x:v>1</x:v>
      </x:c>
      <x:c r="E739" s="10" t="n">
        <x:v>12000</x:v>
      </x:c>
      <x:c r="F739" s="10" t="n">
        <x:v>12000</x:v>
      </x:c>
      <x:c r="G739" s="8" t="n">
        <x:f>INDEX('Órdenes'!$B$7:$B$334,MATCH(A739,'Órdenes'!$A$7:$A$334,0))</x:f>
        <x:v>46221</x:v>
      </x:c>
      <x:c r="H739" s="11" t="n">
        <x:f>DATE(YEAR(G739),MONTH(G739),1)</x:f>
        <x:v>46204</x:v>
      </x:c>
    </x:row>
    <x:row r="740" ht="23" customHeight="1">
      <x:c r="A740" s="2" t="str">
        <x:v>SIM-202607-031</x:v>
      </x:c>
      <x:c r="B740" s="2" t="str">
        <x:v>Gaseosas</x:v>
      </x:c>
      <x:c r="C740" s="2" t="str">
        <x:v>Coca-Cola</x:v>
      </x:c>
      <x:c r="D740" s="2" t="n">
        <x:v>1</x:v>
      </x:c>
      <x:c r="E740" s="10" t="n">
        <x:v>5000</x:v>
      </x:c>
      <x:c r="F740" s="10" t="n">
        <x:v>5000</x:v>
      </x:c>
      <x:c r="G740" s="8" t="n">
        <x:f>INDEX('Órdenes'!$B$7:$B$334,MATCH(A740,'Órdenes'!$A$7:$A$334,0))</x:f>
        <x:v>46221</x:v>
      </x:c>
      <x:c r="H740" s="11" t="n">
        <x:f>DATE(YEAR(G740),MONTH(G740),1)</x:f>
        <x:v>46204</x:v>
      </x:c>
    </x:row>
    <x:row r="741" ht="23" customHeight="1">
      <x:c r="A741" s="2" t="str">
        <x:v>SIM-202607-032</x:v>
      </x:c>
      <x:c r="B741" s="2" t="str">
        <x:v>Hamburguesa Clásica</x:v>
      </x:c>
      <x:c r="C741" s="2" t="str"/>
      <x:c r="D741" s="2" t="n">
        <x:v>1</x:v>
      </x:c>
      <x:c r="E741" s="10" t="n">
        <x:v>15000</x:v>
      </x:c>
      <x:c r="F741" s="10" t="n">
        <x:v>15000</x:v>
      </x:c>
      <x:c r="G741" s="8" t="n">
        <x:f>INDEX('Órdenes'!$B$7:$B$334,MATCH(A741,'Órdenes'!$A$7:$A$334,0))</x:f>
        <x:v>46222</x:v>
      </x:c>
      <x:c r="H741" s="11" t="n">
        <x:f>DATE(YEAR(G741),MONTH(G741),1)</x:f>
        <x:v>46204</x:v>
      </x:c>
    </x:row>
    <x:row r="742" ht="23" customHeight="1">
      <x:c r="A742" s="2" t="str">
        <x:v>SIM-202607-032</x:v>
      </x:c>
      <x:c r="B742" s="2" t="str">
        <x:v>Hamburguesa especial</x:v>
      </x:c>
      <x:c r="C742" s="2" t="str"/>
      <x:c r="D742" s="2" t="n">
        <x:v>1</x:v>
      </x:c>
      <x:c r="E742" s="10" t="n">
        <x:v>20000</x:v>
      </x:c>
      <x:c r="F742" s="10" t="n">
        <x:v>20000</x:v>
      </x:c>
      <x:c r="G742" s="8" t="n">
        <x:f>INDEX('Órdenes'!$B$7:$B$334,MATCH(A742,'Órdenes'!$A$7:$A$334,0))</x:f>
        <x:v>46222</x:v>
      </x:c>
      <x:c r="H742" s="11" t="n">
        <x:f>DATE(YEAR(G742),MONTH(G742),1)</x:f>
        <x:v>46204</x:v>
      </x:c>
    </x:row>
    <x:row r="743" ht="23" customHeight="1">
      <x:c r="A743" s="2" t="str">
        <x:v>SIM-202607-032</x:v>
      </x:c>
      <x:c r="B743" s="2" t="str">
        <x:v>Gaseosas</x:v>
      </x:c>
      <x:c r="C743" s="2" t="str">
        <x:v>Coca-Cola</x:v>
      </x:c>
      <x:c r="D743" s="2" t="n">
        <x:v>2</x:v>
      </x:c>
      <x:c r="E743" s="10" t="n">
        <x:v>5000</x:v>
      </x:c>
      <x:c r="F743" s="10" t="n">
        <x:v>10000</x:v>
      </x:c>
      <x:c r="G743" s="8" t="n">
        <x:f>INDEX('Órdenes'!$B$7:$B$334,MATCH(A743,'Órdenes'!$A$7:$A$334,0))</x:f>
        <x:v>46222</x:v>
      </x:c>
      <x:c r="H743" s="11" t="n">
        <x:f>DATE(YEAR(G743),MONTH(G743),1)</x:f>
        <x:v>46204</x:v>
      </x:c>
    </x:row>
    <x:row r="744" ht="23" customHeight="1">
      <x:c r="A744" s="2" t="str">
        <x:v>SIM-202607-033</x:v>
      </x:c>
      <x:c r="B744" s="2" t="str">
        <x:v>Hamburguesa Clásica</x:v>
      </x:c>
      <x:c r="C744" s="2" t="str"/>
      <x:c r="D744" s="2" t="n">
        <x:v>1</x:v>
      </x:c>
      <x:c r="E744" s="10" t="n">
        <x:v>15000</x:v>
      </x:c>
      <x:c r="F744" s="10" t="n">
        <x:v>15000</x:v>
      </x:c>
      <x:c r="G744" s="8" t="n">
        <x:f>INDEX('Órdenes'!$B$7:$B$334,MATCH(A744,'Órdenes'!$A$7:$A$334,0))</x:f>
        <x:v>46222</x:v>
      </x:c>
      <x:c r="H744" s="11" t="n">
        <x:f>DATE(YEAR(G744),MONTH(G744),1)</x:f>
        <x:v>46204</x:v>
      </x:c>
    </x:row>
    <x:row r="745" ht="23" customHeight="1">
      <x:c r="A745" s="2" t="str">
        <x:v>SIM-202607-034</x:v>
      </x:c>
      <x:c r="B745" s="2" t="str">
        <x:v>Hamburguesa especial</x:v>
      </x:c>
      <x:c r="C745" s="2" t="str"/>
      <x:c r="D745" s="2" t="n">
        <x:v>1</x:v>
      </x:c>
      <x:c r="E745" s="10" t="n">
        <x:v>20000</x:v>
      </x:c>
      <x:c r="F745" s="10" t="n">
        <x:v>20000</x:v>
      </x:c>
      <x:c r="G745" s="8" t="n">
        <x:f>INDEX('Órdenes'!$B$7:$B$334,MATCH(A745,'Órdenes'!$A$7:$A$334,0))</x:f>
        <x:v>46222</x:v>
      </x:c>
      <x:c r="H745" s="11" t="n">
        <x:f>DATE(YEAR(G745),MONTH(G745),1)</x:f>
        <x:v>46204</x:v>
      </x:c>
    </x:row>
    <x:row r="746" ht="23" customHeight="1">
      <x:c r="A746" s="2" t="str">
        <x:v>SIM-202607-035</x:v>
      </x:c>
      <x:c r="B746" s="2" t="str">
        <x:v>Perro caliente</x:v>
      </x:c>
      <x:c r="C746" s="2" t="str"/>
      <x:c r="D746" s="2" t="n">
        <x:v>1</x:v>
      </x:c>
      <x:c r="E746" s="10" t="n">
        <x:v>13000</x:v>
      </x:c>
      <x:c r="F746" s="10" t="n">
        <x:v>13000</x:v>
      </x:c>
      <x:c r="G746" s="8" t="n">
        <x:f>INDEX('Órdenes'!$B$7:$B$334,MATCH(A746,'Órdenes'!$A$7:$A$334,0))</x:f>
        <x:v>46224</x:v>
      </x:c>
      <x:c r="H746" s="11" t="n">
        <x:f>DATE(YEAR(G746),MONTH(G746),1)</x:f>
        <x:v>46204</x:v>
      </x:c>
    </x:row>
    <x:row r="747" ht="23" customHeight="1">
      <x:c r="A747" s="2" t="str">
        <x:v>SIM-202607-035</x:v>
      </x:c>
      <x:c r="B747" s="2" t="str">
        <x:v>Gaseosas</x:v>
      </x:c>
      <x:c r="C747" s="2" t="str">
        <x:v>Manzana</x:v>
      </x:c>
      <x:c r="D747" s="2" t="n">
        <x:v>1</x:v>
      </x:c>
      <x:c r="E747" s="10" t="n">
        <x:v>5000</x:v>
      </x:c>
      <x:c r="F747" s="10" t="n">
        <x:v>5000</x:v>
      </x:c>
      <x:c r="G747" s="8" t="n">
        <x:f>INDEX('Órdenes'!$B$7:$B$334,MATCH(A747,'Órdenes'!$A$7:$A$334,0))</x:f>
        <x:v>46224</x:v>
      </x:c>
      <x:c r="H747" s="11" t="n">
        <x:f>DATE(YEAR(G747),MONTH(G747),1)</x:f>
        <x:v>46204</x:v>
      </x:c>
    </x:row>
    <x:row r="748" ht="23" customHeight="1">
      <x:c r="A748" s="2" t="str">
        <x:v>SIM-202607-036</x:v>
      </x:c>
      <x:c r="B748" s="2" t="str">
        <x:v>Hamburguesa especial</x:v>
      </x:c>
      <x:c r="C748" s="2" t="str"/>
      <x:c r="D748" s="2" t="n">
        <x:v>1</x:v>
      </x:c>
      <x:c r="E748" s="10" t="n">
        <x:v>20000</x:v>
      </x:c>
      <x:c r="F748" s="10" t="n">
        <x:v>20000</x:v>
      </x:c>
      <x:c r="G748" s="8" t="n">
        <x:f>INDEX('Órdenes'!$B$7:$B$334,MATCH(A748,'Órdenes'!$A$7:$A$334,0))</x:f>
        <x:v>46224</x:v>
      </x:c>
      <x:c r="H748" s="11" t="n">
        <x:f>DATE(YEAR(G748),MONTH(G748),1)</x:f>
        <x:v>46204</x:v>
      </x:c>
    </x:row>
    <x:row r="749" ht="23" customHeight="1">
      <x:c r="A749" s="2" t="str">
        <x:v>SIM-202607-036</x:v>
      </x:c>
      <x:c r="B749" s="2" t="str">
        <x:v>Gaseosas</x:v>
      </x:c>
      <x:c r="C749" s="2" t="str">
        <x:v>Coca-Cola</x:v>
      </x:c>
      <x:c r="D749" s="2" t="n">
        <x:v>1</x:v>
      </x:c>
      <x:c r="E749" s="10" t="n">
        <x:v>5000</x:v>
      </x:c>
      <x:c r="F749" s="10" t="n">
        <x:v>5000</x:v>
      </x:c>
      <x:c r="G749" s="8" t="n">
        <x:f>INDEX('Órdenes'!$B$7:$B$334,MATCH(A749,'Órdenes'!$A$7:$A$334,0))</x:f>
        <x:v>46224</x:v>
      </x:c>
      <x:c r="H749" s="11" t="n">
        <x:f>DATE(YEAR(G749),MONTH(G749),1)</x:f>
        <x:v>46204</x:v>
      </x:c>
    </x:row>
    <x:row r="750" ht="23" customHeight="1">
      <x:c r="A750" s="2" t="str">
        <x:v>SIM-202607-037</x:v>
      </x:c>
      <x:c r="B750" s="2" t="str">
        <x:v>Perro caliente</x:v>
      </x:c>
      <x:c r="C750" s="2" t="str"/>
      <x:c r="D750" s="2" t="n">
        <x:v>1</x:v>
      </x:c>
      <x:c r="E750" s="10" t="n">
        <x:v>13000</x:v>
      </x:c>
      <x:c r="F750" s="10" t="n">
        <x:v>13000</x:v>
      </x:c>
      <x:c r="G750" s="8" t="n">
        <x:f>INDEX('Órdenes'!$B$7:$B$334,MATCH(A750,'Órdenes'!$A$7:$A$334,0))</x:f>
        <x:v>46225</x:v>
      </x:c>
      <x:c r="H750" s="11" t="n">
        <x:f>DATE(YEAR(G750),MONTH(G750),1)</x:f>
        <x:v>46204</x:v>
      </x:c>
    </x:row>
    <x:row r="751" ht="23" customHeight="1">
      <x:c r="A751" s="2" t="str">
        <x:v>SIM-202607-037</x:v>
      </x:c>
      <x:c r="B751" s="2" t="str">
        <x:v>Gaseosas</x:v>
      </x:c>
      <x:c r="C751" s="2" t="str">
        <x:v>Sprite</x:v>
      </x:c>
      <x:c r="D751" s="2" t="n">
        <x:v>1</x:v>
      </x:c>
      <x:c r="E751" s="10" t="n">
        <x:v>5000</x:v>
      </x:c>
      <x:c r="F751" s="10" t="n">
        <x:v>5000</x:v>
      </x:c>
      <x:c r="G751" s="8" t="n">
        <x:f>INDEX('Órdenes'!$B$7:$B$334,MATCH(A751,'Órdenes'!$A$7:$A$334,0))</x:f>
        <x:v>46225</x:v>
      </x:c>
      <x:c r="H751" s="11" t="n">
        <x:f>DATE(YEAR(G751),MONTH(G751),1)</x:f>
        <x:v>46204</x:v>
      </x:c>
    </x:row>
    <x:row r="752" ht="23" customHeight="1">
      <x:c r="A752" s="2" t="str">
        <x:v>SIM-202607-038</x:v>
      </x:c>
      <x:c r="B752" s="2" t="str">
        <x:v>Perro caliente</x:v>
      </x:c>
      <x:c r="C752" s="2" t="str"/>
      <x:c r="D752" s="2" t="n">
        <x:v>1</x:v>
      </x:c>
      <x:c r="E752" s="10" t="n">
        <x:v>13000</x:v>
      </x:c>
      <x:c r="F752" s="10" t="n">
        <x:v>13000</x:v>
      </x:c>
      <x:c r="G752" s="8" t="n">
        <x:f>INDEX('Órdenes'!$B$7:$B$334,MATCH(A752,'Órdenes'!$A$7:$A$334,0))</x:f>
        <x:v>46226</x:v>
      </x:c>
      <x:c r="H752" s="11" t="n">
        <x:f>DATE(YEAR(G752),MONTH(G752),1)</x:f>
        <x:v>46204</x:v>
      </x:c>
    </x:row>
    <x:row r="753" ht="23" customHeight="1">
      <x:c r="A753" s="2" t="str">
        <x:v>SIM-202607-039</x:v>
      </x:c>
      <x:c r="B753" s="2" t="str">
        <x:v>Hamburguesa Clásica</x:v>
      </x:c>
      <x:c r="C753" s="2" t="str"/>
      <x:c r="D753" s="2" t="n">
        <x:v>1</x:v>
      </x:c>
      <x:c r="E753" s="10" t="n">
        <x:v>15000</x:v>
      </x:c>
      <x:c r="F753" s="10" t="n">
        <x:v>15000</x:v>
      </x:c>
      <x:c r="G753" s="8" t="n">
        <x:f>INDEX('Órdenes'!$B$7:$B$334,MATCH(A753,'Órdenes'!$A$7:$A$334,0))</x:f>
        <x:v>46227</x:v>
      </x:c>
      <x:c r="H753" s="11" t="n">
        <x:f>DATE(YEAR(G753),MONTH(G753),1)</x:f>
        <x:v>46204</x:v>
      </x:c>
    </x:row>
    <x:row r="754" ht="23" customHeight="1">
      <x:c r="A754" s="2" t="str">
        <x:v>SIM-202607-039</x:v>
      </x:c>
      <x:c r="B754" s="2" t="str">
        <x:v>Salchipapas</x:v>
      </x:c>
      <x:c r="C754" s="2" t="str"/>
      <x:c r="D754" s="2" t="n">
        <x:v>1</x:v>
      </x:c>
      <x:c r="E754" s="10" t="n">
        <x:v>12000</x:v>
      </x:c>
      <x:c r="F754" s="10" t="n">
        <x:v>12000</x:v>
      </x:c>
      <x:c r="G754" s="8" t="n">
        <x:f>INDEX('Órdenes'!$B$7:$B$334,MATCH(A754,'Órdenes'!$A$7:$A$334,0))</x:f>
        <x:v>46227</x:v>
      </x:c>
      <x:c r="H754" s="11" t="n">
        <x:f>DATE(YEAR(G754),MONTH(G754),1)</x:f>
        <x:v>46204</x:v>
      </x:c>
    </x:row>
    <x:row r="755" ht="23" customHeight="1">
      <x:c r="A755" s="2" t="str">
        <x:v>SIM-202607-039</x:v>
      </x:c>
      <x:c r="B755" s="2" t="str">
        <x:v>Gaseosas</x:v>
      </x:c>
      <x:c r="C755" s="2" t="str">
        <x:v>Coca-Cola</x:v>
      </x:c>
      <x:c r="D755" s="2" t="n">
        <x:v>1</x:v>
      </x:c>
      <x:c r="E755" s="10" t="n">
        <x:v>5000</x:v>
      </x:c>
      <x:c r="F755" s="10" t="n">
        <x:v>5000</x:v>
      </x:c>
      <x:c r="G755" s="8" t="n">
        <x:f>INDEX('Órdenes'!$B$7:$B$334,MATCH(A755,'Órdenes'!$A$7:$A$334,0))</x:f>
        <x:v>46227</x:v>
      </x:c>
      <x:c r="H755" s="11" t="n">
        <x:f>DATE(YEAR(G755),MONTH(G755),1)</x:f>
        <x:v>46204</x:v>
      </x:c>
    </x:row>
    <x:row r="756" ht="23" customHeight="1">
      <x:c r="A756" s="2" t="str">
        <x:v>SIM-202607-039</x:v>
      </x:c>
      <x:c r="B756" s="2" t="str">
        <x:v>Gaseosas</x:v>
      </x:c>
      <x:c r="C756" s="2" t="str">
        <x:v>Manzana</x:v>
      </x:c>
      <x:c r="D756" s="2" t="n">
        <x:v>1</x:v>
      </x:c>
      <x:c r="E756" s="10" t="n">
        <x:v>5000</x:v>
      </x:c>
      <x:c r="F756" s="10" t="n">
        <x:v>5000</x:v>
      </x:c>
      <x:c r="G756" s="8" t="n">
        <x:f>INDEX('Órdenes'!$B$7:$B$334,MATCH(A756,'Órdenes'!$A$7:$A$334,0))</x:f>
        <x:v>46227</x:v>
      </x:c>
      <x:c r="H756" s="11" t="n">
        <x:f>DATE(YEAR(G756),MONTH(G756),1)</x:f>
        <x:v>46204</x:v>
      </x:c>
    </x:row>
    <x:row r="757" ht="23" customHeight="1">
      <x:c r="A757" s="2" t="str">
        <x:v>SIM-202607-040</x:v>
      </x:c>
      <x:c r="B757" s="2" t="str">
        <x:v>Hamburguesa Clásica</x:v>
      </x:c>
      <x:c r="C757" s="2" t="str"/>
      <x:c r="D757" s="2" t="n">
        <x:v>2</x:v>
      </x:c>
      <x:c r="E757" s="10" t="n">
        <x:v>15000</x:v>
      </x:c>
      <x:c r="F757" s="10" t="n">
        <x:v>30000</x:v>
      </x:c>
      <x:c r="G757" s="8" t="n">
        <x:f>INDEX('Órdenes'!$B$7:$B$334,MATCH(A757,'Órdenes'!$A$7:$A$334,0))</x:f>
        <x:v>46228</x:v>
      </x:c>
      <x:c r="H757" s="11" t="n">
        <x:f>DATE(YEAR(G757),MONTH(G757),1)</x:f>
        <x:v>46204</x:v>
      </x:c>
    </x:row>
    <x:row r="758" ht="23" customHeight="1">
      <x:c r="A758" s="2" t="str">
        <x:v>SIM-202607-040</x:v>
      </x:c>
      <x:c r="B758" s="2" t="str">
        <x:v>Perro caliente</x:v>
      </x:c>
      <x:c r="C758" s="2" t="str"/>
      <x:c r="D758" s="2" t="n">
        <x:v>1</x:v>
      </x:c>
      <x:c r="E758" s="10" t="n">
        <x:v>13000</x:v>
      </x:c>
      <x:c r="F758" s="10" t="n">
        <x:v>13000</x:v>
      </x:c>
      <x:c r="G758" s="8" t="n">
        <x:f>INDEX('Órdenes'!$B$7:$B$334,MATCH(A758,'Órdenes'!$A$7:$A$334,0))</x:f>
        <x:v>46228</x:v>
      </x:c>
      <x:c r="H758" s="11" t="n">
        <x:f>DATE(YEAR(G758),MONTH(G758),1)</x:f>
        <x:v>46204</x:v>
      </x:c>
    </x:row>
    <x:row r="759" ht="23" customHeight="1">
      <x:c r="A759" s="2" t="str">
        <x:v>SIM-202607-040</x:v>
      </x:c>
      <x:c r="B759" s="2" t="str">
        <x:v>Salchipapas</x:v>
      </x:c>
      <x:c r="C759" s="2" t="str"/>
      <x:c r="D759" s="2" t="n">
        <x:v>1</x:v>
      </x:c>
      <x:c r="E759" s="10" t="n">
        <x:v>12000</x:v>
      </x:c>
      <x:c r="F759" s="10" t="n">
        <x:v>12000</x:v>
      </x:c>
      <x:c r="G759" s="8" t="n">
        <x:f>INDEX('Órdenes'!$B$7:$B$334,MATCH(A759,'Órdenes'!$A$7:$A$334,0))</x:f>
        <x:v>46228</x:v>
      </x:c>
      <x:c r="H759" s="11" t="n">
        <x:f>DATE(YEAR(G759),MONTH(G759),1)</x:f>
        <x:v>46204</x:v>
      </x:c>
    </x:row>
    <x:row r="760" ht="23" customHeight="1">
      <x:c r="A760" s="2" t="str">
        <x:v>SIM-202607-040</x:v>
      </x:c>
      <x:c r="B760" s="2" t="str">
        <x:v>Gaseosas</x:v>
      </x:c>
      <x:c r="C760" s="2" t="str">
        <x:v>Coca-Cola</x:v>
      </x:c>
      <x:c r="D760" s="2" t="n">
        <x:v>1</x:v>
      </x:c>
      <x:c r="E760" s="10" t="n">
        <x:v>5000</x:v>
      </x:c>
      <x:c r="F760" s="10" t="n">
        <x:v>5000</x:v>
      </x:c>
      <x:c r="G760" s="8" t="n">
        <x:f>INDEX('Órdenes'!$B$7:$B$334,MATCH(A760,'Órdenes'!$A$7:$A$334,0))</x:f>
        <x:v>46228</x:v>
      </x:c>
      <x:c r="H760" s="11" t="n">
        <x:f>DATE(YEAR(G760),MONTH(G760),1)</x:f>
        <x:v>46204</x:v>
      </x:c>
    </x:row>
    <x:row r="761" ht="23" customHeight="1">
      <x:c r="A761" s="2" t="str">
        <x:v>SIM-202607-040</x:v>
      </x:c>
      <x:c r="B761" s="2" t="str">
        <x:v>Gaseosas</x:v>
      </x:c>
      <x:c r="C761" s="2" t="str">
        <x:v>Sprite</x:v>
      </x:c>
      <x:c r="D761" s="2" t="n">
        <x:v>1</x:v>
      </x:c>
      <x:c r="E761" s="10" t="n">
        <x:v>5000</x:v>
      </x:c>
      <x:c r="F761" s="10" t="n">
        <x:v>5000</x:v>
      </x:c>
      <x:c r="G761" s="8" t="n">
        <x:f>INDEX('Órdenes'!$B$7:$B$334,MATCH(A761,'Órdenes'!$A$7:$A$334,0))</x:f>
        <x:v>46228</x:v>
      </x:c>
      <x:c r="H761" s="11" t="n">
        <x:f>DATE(YEAR(G761),MONTH(G761),1)</x:f>
        <x:v>46204</x:v>
      </x:c>
    </x:row>
    <x:row r="762" ht="23" customHeight="1">
      <x:c r="A762" s="2" t="str">
        <x:v>SIM-202607-041</x:v>
      </x:c>
      <x:c r="B762" s="2" t="str">
        <x:v>Perro caliente</x:v>
      </x:c>
      <x:c r="C762" s="2" t="str"/>
      <x:c r="D762" s="2" t="n">
        <x:v>2</x:v>
      </x:c>
      <x:c r="E762" s="10" t="n">
        <x:v>13000</x:v>
      </x:c>
      <x:c r="F762" s="10" t="n">
        <x:v>26000</x:v>
      </x:c>
      <x:c r="G762" s="8" t="n">
        <x:f>INDEX('Órdenes'!$B$7:$B$334,MATCH(A762,'Órdenes'!$A$7:$A$334,0))</x:f>
        <x:v>46228</x:v>
      </x:c>
      <x:c r="H762" s="11" t="n">
        <x:f>DATE(YEAR(G762),MONTH(G762),1)</x:f>
        <x:v>46204</x:v>
      </x:c>
    </x:row>
    <x:row r="763" ht="23" customHeight="1">
      <x:c r="A763" s="2" t="str">
        <x:v>SIM-202607-041</x:v>
      </x:c>
      <x:c r="B763" s="2" t="str">
        <x:v>Gaseosas</x:v>
      </x:c>
      <x:c r="C763" s="2" t="str">
        <x:v>Coca-Cola</x:v>
      </x:c>
      <x:c r="D763" s="2" t="n">
        <x:v>1</x:v>
      </x:c>
      <x:c r="E763" s="10" t="n">
        <x:v>5000</x:v>
      </x:c>
      <x:c r="F763" s="10" t="n">
        <x:v>5000</x:v>
      </x:c>
      <x:c r="G763" s="8" t="n">
        <x:f>INDEX('Órdenes'!$B$7:$B$334,MATCH(A763,'Órdenes'!$A$7:$A$334,0))</x:f>
        <x:v>46228</x:v>
      </x:c>
      <x:c r="H763" s="11" t="n">
        <x:f>DATE(YEAR(G763),MONTH(G763),1)</x:f>
        <x:v>46204</x:v>
      </x:c>
    </x:row>
    <x:row r="764" ht="23" customHeight="1">
      <x:c r="A764" s="2" t="str">
        <x:v>SIM-202607-041</x:v>
      </x:c>
      <x:c r="B764" s="2" t="str">
        <x:v>Gaseosas</x:v>
      </x:c>
      <x:c r="C764" s="2" t="str">
        <x:v>Sprite</x:v>
      </x:c>
      <x:c r="D764" s="2" t="n">
        <x:v>1</x:v>
      </x:c>
      <x:c r="E764" s="10" t="n">
        <x:v>5000</x:v>
      </x:c>
      <x:c r="F764" s="10" t="n">
        <x:v>5000</x:v>
      </x:c>
      <x:c r="G764" s="8" t="n">
        <x:f>INDEX('Órdenes'!$B$7:$B$334,MATCH(A764,'Órdenes'!$A$7:$A$334,0))</x:f>
        <x:v>46228</x:v>
      </x:c>
      <x:c r="H764" s="11" t="n">
        <x:f>DATE(YEAR(G764),MONTH(G764),1)</x:f>
        <x:v>46204</x:v>
      </x:c>
    </x:row>
    <x:row r="765" ht="23" customHeight="1">
      <x:c r="A765" s="2" t="str">
        <x:v>SIM-202607-042</x:v>
      </x:c>
      <x:c r="B765" s="2" t="str">
        <x:v>Hamburguesa especial</x:v>
      </x:c>
      <x:c r="C765" s="2" t="str"/>
      <x:c r="D765" s="2" t="n">
        <x:v>1</x:v>
      </x:c>
      <x:c r="E765" s="10" t="n">
        <x:v>20000</x:v>
      </x:c>
      <x:c r="F765" s="10" t="n">
        <x:v>20000</x:v>
      </x:c>
      <x:c r="G765" s="8" t="n">
        <x:f>INDEX('Órdenes'!$B$7:$B$334,MATCH(A765,'Órdenes'!$A$7:$A$334,0))</x:f>
        <x:v>46229</x:v>
      </x:c>
      <x:c r="H765" s="11" t="n">
        <x:f>DATE(YEAR(G765),MONTH(G765),1)</x:f>
        <x:v>46204</x:v>
      </x:c>
    </x:row>
    <x:row r="766" ht="23" customHeight="1">
      <x:c r="A766" s="2" t="str">
        <x:v>SIM-202607-042</x:v>
      </x:c>
      <x:c r="B766" s="2" t="str">
        <x:v>Perro caliente</x:v>
      </x:c>
      <x:c r="C766" s="2" t="str"/>
      <x:c r="D766" s="2" t="n">
        <x:v>1</x:v>
      </x:c>
      <x:c r="E766" s="10" t="n">
        <x:v>13000</x:v>
      </x:c>
      <x:c r="F766" s="10" t="n">
        <x:v>13000</x:v>
      </x:c>
      <x:c r="G766" s="8" t="n">
        <x:f>INDEX('Órdenes'!$B$7:$B$334,MATCH(A766,'Órdenes'!$A$7:$A$334,0))</x:f>
        <x:v>46229</x:v>
      </x:c>
      <x:c r="H766" s="11" t="n">
        <x:f>DATE(YEAR(G766),MONTH(G766),1)</x:f>
        <x:v>46204</x:v>
      </x:c>
    </x:row>
    <x:row r="767" ht="23" customHeight="1">
      <x:c r="A767" s="2" t="str">
        <x:v>SIM-202607-042</x:v>
      </x:c>
      <x:c r="B767" s="2" t="str">
        <x:v>Salchipapas</x:v>
      </x:c>
      <x:c r="C767" s="2" t="str"/>
      <x:c r="D767" s="2" t="n">
        <x:v>1</x:v>
      </x:c>
      <x:c r="E767" s="10" t="n">
        <x:v>12000</x:v>
      </x:c>
      <x:c r="F767" s="10" t="n">
        <x:v>12000</x:v>
      </x:c>
      <x:c r="G767" s="8" t="n">
        <x:f>INDEX('Órdenes'!$B$7:$B$334,MATCH(A767,'Órdenes'!$A$7:$A$334,0))</x:f>
        <x:v>46229</x:v>
      </x:c>
      <x:c r="H767" s="11" t="n">
        <x:f>DATE(YEAR(G767),MONTH(G767),1)</x:f>
        <x:v>46204</x:v>
      </x:c>
    </x:row>
    <x:row r="768" ht="23" customHeight="1">
      <x:c r="A768" s="2" t="str">
        <x:v>SIM-202607-042</x:v>
      </x:c>
      <x:c r="B768" s="2" t="str">
        <x:v>Gaseosas</x:v>
      </x:c>
      <x:c r="C768" s="2" t="str">
        <x:v>Coca-Cola</x:v>
      </x:c>
      <x:c r="D768" s="2" t="n">
        <x:v>1</x:v>
      </x:c>
      <x:c r="E768" s="10" t="n">
        <x:v>5000</x:v>
      </x:c>
      <x:c r="F768" s="10" t="n">
        <x:v>5000</x:v>
      </x:c>
      <x:c r="G768" s="8" t="n">
        <x:f>INDEX('Órdenes'!$B$7:$B$334,MATCH(A768,'Órdenes'!$A$7:$A$334,0))</x:f>
        <x:v>46229</x:v>
      </x:c>
      <x:c r="H768" s="11" t="n">
        <x:f>DATE(YEAR(G768),MONTH(G768),1)</x:f>
        <x:v>46204</x:v>
      </x:c>
    </x:row>
    <x:row r="769" ht="23" customHeight="1">
      <x:c r="A769" s="2" t="str">
        <x:v>SIM-202607-042</x:v>
      </x:c>
      <x:c r="B769" s="2" t="str">
        <x:v>Gaseosas</x:v>
      </x:c>
      <x:c r="C769" s="2" t="str">
        <x:v>Sprite</x:v>
      </x:c>
      <x:c r="D769" s="2" t="n">
        <x:v>1</x:v>
      </x:c>
      <x:c r="E769" s="10" t="n">
        <x:v>5000</x:v>
      </x:c>
      <x:c r="F769" s="10" t="n">
        <x:v>5000</x:v>
      </x:c>
      <x:c r="G769" s="8" t="n">
        <x:f>INDEX('Órdenes'!$B$7:$B$334,MATCH(A769,'Órdenes'!$A$7:$A$334,0))</x:f>
        <x:v>46229</x:v>
      </x:c>
      <x:c r="H769" s="11" t="n">
        <x:f>DATE(YEAR(G769),MONTH(G769),1)</x:f>
        <x:v>46204</x:v>
      </x:c>
    </x:row>
    <x:row r="770" ht="23" customHeight="1">
      <x:c r="A770" s="2" t="str">
        <x:v>SIM-202607-043</x:v>
      </x:c>
      <x:c r="B770" s="2" t="str">
        <x:v>Hamburguesa Clásica</x:v>
      </x:c>
      <x:c r="C770" s="2" t="str"/>
      <x:c r="D770" s="2" t="n">
        <x:v>2</x:v>
      </x:c>
      <x:c r="E770" s="10" t="n">
        <x:v>15000</x:v>
      </x:c>
      <x:c r="F770" s="10" t="n">
        <x:v>30000</x:v>
      </x:c>
      <x:c r="G770" s="8" t="n">
        <x:f>INDEX('Órdenes'!$B$7:$B$334,MATCH(A770,'Órdenes'!$A$7:$A$334,0))</x:f>
        <x:v>46229</x:v>
      </x:c>
      <x:c r="H770" s="11" t="n">
        <x:f>DATE(YEAR(G770),MONTH(G770),1)</x:f>
        <x:v>46204</x:v>
      </x:c>
    </x:row>
    <x:row r="771" ht="23" customHeight="1">
      <x:c r="A771" s="2" t="str">
        <x:v>SIM-202607-043</x:v>
      </x:c>
      <x:c r="B771" s="2" t="str">
        <x:v>Gaseosas</x:v>
      </x:c>
      <x:c r="C771" s="2" t="str">
        <x:v>Coca-Cola</x:v>
      </x:c>
      <x:c r="D771" s="2" t="n">
        <x:v>1</x:v>
      </x:c>
      <x:c r="E771" s="10" t="n">
        <x:v>5000</x:v>
      </x:c>
      <x:c r="F771" s="10" t="n">
        <x:v>5000</x:v>
      </x:c>
      <x:c r="G771" s="8" t="n">
        <x:f>INDEX('Órdenes'!$B$7:$B$334,MATCH(A771,'Órdenes'!$A$7:$A$334,0))</x:f>
        <x:v>46229</x:v>
      </x:c>
      <x:c r="H771" s="11" t="n">
        <x:f>DATE(YEAR(G771),MONTH(G771),1)</x:f>
        <x:v>46204</x:v>
      </x:c>
    </x:row>
    <x:row r="772" ht="23" customHeight="1">
      <x:c r="A772" s="2" t="str">
        <x:v>SIM-202607-043</x:v>
      </x:c>
      <x:c r="B772" s="2" t="str">
        <x:v>Gaseosas</x:v>
      </x:c>
      <x:c r="C772" s="2" t="str">
        <x:v>Manzana</x:v>
      </x:c>
      <x:c r="D772" s="2" t="n">
        <x:v>1</x:v>
      </x:c>
      <x:c r="E772" s="10" t="n">
        <x:v>5000</x:v>
      </x:c>
      <x:c r="F772" s="10" t="n">
        <x:v>5000</x:v>
      </x:c>
      <x:c r="G772" s="8" t="n">
        <x:f>INDEX('Órdenes'!$B$7:$B$334,MATCH(A772,'Órdenes'!$A$7:$A$334,0))</x:f>
        <x:v>46229</x:v>
      </x:c>
      <x:c r="H772" s="11" t="n">
        <x:f>DATE(YEAR(G772),MONTH(G772),1)</x:f>
        <x:v>46204</x:v>
      </x:c>
    </x:row>
    <x:row r="773" ht="23" customHeight="1">
      <x:c r="A773" s="2" t="str">
        <x:v>SIM-202607-044</x:v>
      </x:c>
      <x:c r="B773" s="2" t="str">
        <x:v>Hamburguesa Clásica</x:v>
      </x:c>
      <x:c r="C773" s="2" t="str"/>
      <x:c r="D773" s="2" t="n">
        <x:v>1</x:v>
      </x:c>
      <x:c r="E773" s="10" t="n">
        <x:v>15000</x:v>
      </x:c>
      <x:c r="F773" s="10" t="n">
        <x:v>15000</x:v>
      </x:c>
      <x:c r="G773" s="8" t="n">
        <x:f>INDEX('Órdenes'!$B$7:$B$334,MATCH(A773,'Órdenes'!$A$7:$A$334,0))</x:f>
        <x:v>46229</x:v>
      </x:c>
      <x:c r="H773" s="11" t="n">
        <x:f>DATE(YEAR(G773),MONTH(G773),1)</x:f>
        <x:v>46204</x:v>
      </x:c>
    </x:row>
    <x:row r="774" ht="23" customHeight="1">
      <x:c r="A774" s="2" t="str">
        <x:v>SIM-202607-044</x:v>
      </x:c>
      <x:c r="B774" s="2" t="str">
        <x:v>Gaseosas</x:v>
      </x:c>
      <x:c r="C774" s="2" t="str">
        <x:v>Coca-Cola</x:v>
      </x:c>
      <x:c r="D774" s="2" t="n">
        <x:v>1</x:v>
      </x:c>
      <x:c r="E774" s="10" t="n">
        <x:v>5000</x:v>
      </x:c>
      <x:c r="F774" s="10" t="n">
        <x:v>5000</x:v>
      </x:c>
      <x:c r="G774" s="8" t="n">
        <x:f>INDEX('Órdenes'!$B$7:$B$334,MATCH(A774,'Órdenes'!$A$7:$A$334,0))</x:f>
        <x:v>46229</x:v>
      </x:c>
      <x:c r="H774" s="11" t="n">
        <x:f>DATE(YEAR(G774),MONTH(G774),1)</x:f>
        <x:v>46204</x:v>
      </x:c>
    </x:row>
    <x:row r="775" ht="23" customHeight="1">
      <x:c r="A775" s="2" t="str">
        <x:v>SIM-202607-045</x:v>
      </x:c>
      <x:c r="B775" s="2" t="str">
        <x:v>Hamburguesa Clásica</x:v>
      </x:c>
      <x:c r="C775" s="2" t="str"/>
      <x:c r="D775" s="2" t="n">
        <x:v>1</x:v>
      </x:c>
      <x:c r="E775" s="10" t="n">
        <x:v>15000</x:v>
      </x:c>
      <x:c r="F775" s="10" t="n">
        <x:v>15000</x:v>
      </x:c>
      <x:c r="G775" s="8" t="n">
        <x:f>INDEX('Órdenes'!$B$7:$B$334,MATCH(A775,'Órdenes'!$A$7:$A$334,0))</x:f>
        <x:v>46229</x:v>
      </x:c>
      <x:c r="H775" s="11" t="n">
        <x:f>DATE(YEAR(G775),MONTH(G775),1)</x:f>
        <x:v>46204</x:v>
      </x:c>
    </x:row>
    <x:row r="776" ht="23" customHeight="1">
      <x:c r="A776" s="2" t="str">
        <x:v>SIM-202607-046</x:v>
      </x:c>
      <x:c r="B776" s="2" t="str">
        <x:v>Hamburguesa Clásica</x:v>
      </x:c>
      <x:c r="C776" s="2" t="str"/>
      <x:c r="D776" s="2" t="n">
        <x:v>1</x:v>
      </x:c>
      <x:c r="E776" s="10" t="n">
        <x:v>15000</x:v>
      </x:c>
      <x:c r="F776" s="10" t="n">
        <x:v>15000</x:v>
      </x:c>
      <x:c r="G776" s="8" t="n">
        <x:f>INDEX('Órdenes'!$B$7:$B$334,MATCH(A776,'Órdenes'!$A$7:$A$334,0))</x:f>
        <x:v>46234</x:v>
      </x:c>
      <x:c r="H776" s="11" t="n">
        <x:f>DATE(YEAR(G776),MONTH(G776),1)</x:f>
        <x:v>46204</x:v>
      </x:c>
    </x:row>
    <x:row r="777" ht="23" customHeight="1">
      <x:c r="A777" s="2" t="str">
        <x:v>SIM-202607-046</x:v>
      </x:c>
      <x:c r="B777" s="2" t="str">
        <x:v>Gaseosas</x:v>
      </x:c>
      <x:c r="C777" s="2" t="str">
        <x:v>Coca-Cola</x:v>
      </x:c>
      <x:c r="D777" s="2" t="n">
        <x:v>1</x:v>
      </x:c>
      <x:c r="E777" s="10" t="n">
        <x:v>5000</x:v>
      </x:c>
      <x:c r="F777" s="10" t="n">
        <x:v>5000</x:v>
      </x:c>
      <x:c r="G777" s="8" t="n">
        <x:f>INDEX('Órdenes'!$B$7:$B$334,MATCH(A777,'Órdenes'!$A$7:$A$334,0))</x:f>
        <x:v>46234</x:v>
      </x:c>
      <x:c r="H777" s="11" t="n">
        <x:f>DATE(YEAR(G777),MONTH(G777),1)</x:f>
        <x:v>46204</x:v>
      </x:c>
    </x:row>
    <x:row r="778" ht="23" customHeight="1">
      <x:c r="A778" s="2" t="str">
        <x:v>SIM-202607-047</x:v>
      </x:c>
      <x:c r="B778" s="2" t="str">
        <x:v>Hamburguesa Clásica</x:v>
      </x:c>
      <x:c r="C778" s="2" t="str"/>
      <x:c r="D778" s="2" t="n">
        <x:v>1</x:v>
      </x:c>
      <x:c r="E778" s="10" t="n">
        <x:v>15000</x:v>
      </x:c>
      <x:c r="F778" s="10" t="n">
        <x:v>15000</x:v>
      </x:c>
      <x:c r="G778" s="8" t="n">
        <x:f>INDEX('Órdenes'!$B$7:$B$334,MATCH(A778,'Órdenes'!$A$7:$A$334,0))</x:f>
        <x:v>46234</x:v>
      </x:c>
      <x:c r="H778" s="11" t="n">
        <x:f>DATE(YEAR(G778),MONTH(G778),1)</x:f>
        <x:v>46204</x:v>
      </x:c>
    </x:row>
    <x:row r="779" ht="23" customHeight="1">
      <x:c r="A779" s="2" t="str">
        <x:v>SIM-202607-047</x:v>
      </x:c>
      <x:c r="B779" s="2" t="str">
        <x:v>Gaseosas</x:v>
      </x:c>
      <x:c r="C779" s="2" t="str">
        <x:v>Coca-Cola</x:v>
      </x:c>
      <x:c r="D779" s="2" t="n">
        <x:v>1</x:v>
      </x:c>
      <x:c r="E779" s="10" t="n">
        <x:v>5000</x:v>
      </x:c>
      <x:c r="F779" s="10" t="n">
        <x:v>5000</x:v>
      </x:c>
      <x:c r="G779" s="8" t="n">
        <x:f>INDEX('Órdenes'!$B$7:$B$334,MATCH(A779,'Órdenes'!$A$7:$A$334,0))</x:f>
        <x:v>46234</x:v>
      </x:c>
      <x:c r="H779" s="11" t="n">
        <x:f>DATE(YEAR(G779),MONTH(G779),1)</x:f>
        <x:v>46204</x:v>
      </x:c>
    </x:row>
    <x:row r="780" ht="23" customHeight="1">
      <x:c r="A780" s="2" t="str">
        <x:v>SIM-202607-048</x:v>
      </x:c>
      <x:c r="B780" s="2" t="str">
        <x:v>Hamburguesa Clásica</x:v>
      </x:c>
      <x:c r="C780" s="2" t="str"/>
      <x:c r="D780" s="2" t="n">
        <x:v>1</x:v>
      </x:c>
      <x:c r="E780" s="10" t="n">
        <x:v>15000</x:v>
      </x:c>
      <x:c r="F780" s="10" t="n">
        <x:v>15000</x:v>
      </x:c>
      <x:c r="G780" s="8" t="n">
        <x:f>INDEX('Órdenes'!$B$7:$B$334,MATCH(A780,'Órdenes'!$A$7:$A$334,0))</x:f>
        <x:v>46234</x:v>
      </x:c>
      <x:c r="H780" s="11" t="n">
        <x:f>DATE(YEAR(G780),MONTH(G780),1)</x:f>
        <x:v>46204</x:v>
      </x:c>
    </x:row>
    <x:row r="781" ht="23" customHeight="1">
      <x:c r="A781" s="2" t="str">
        <x:v>SIM-202607-048</x:v>
      </x:c>
      <x:c r="B781" s="2" t="str">
        <x:v>Perro caliente</x:v>
      </x:c>
      <x:c r="C781" s="2" t="str"/>
      <x:c r="D781" s="2" t="n">
        <x:v>1</x:v>
      </x:c>
      <x:c r="E781" s="10" t="n">
        <x:v>13000</x:v>
      </x:c>
      <x:c r="F781" s="10" t="n">
        <x:v>13000</x:v>
      </x:c>
      <x:c r="G781" s="8" t="n">
        <x:f>INDEX('Órdenes'!$B$7:$B$334,MATCH(A781,'Órdenes'!$A$7:$A$334,0))</x:f>
        <x:v>46234</x:v>
      </x:c>
      <x:c r="H781" s="11" t="n">
        <x:f>DATE(YEAR(G781),MONTH(G781),1)</x:f>
        <x:v>46204</x:v>
      </x:c>
    </x:row>
    <x:row r="782" ht="23" customHeight="1">
      <x:c r="A782" s="2" t="str">
        <x:v>SIM-202608-001</x:v>
      </x:c>
      <x:c r="B782" s="2" t="str">
        <x:v>Hamburguesa Clásica</x:v>
      </x:c>
      <x:c r="C782" s="2" t="str"/>
      <x:c r="D782" s="2" t="n">
        <x:v>1</x:v>
      </x:c>
      <x:c r="E782" s="10" t="n">
        <x:v>15000</x:v>
      </x:c>
      <x:c r="F782" s="10" t="n">
        <x:v>15000</x:v>
      </x:c>
      <x:c r="G782" s="8" t="n">
        <x:f>INDEX('Órdenes'!$B$7:$B$334,MATCH(A782,'Órdenes'!$A$7:$A$334,0))</x:f>
        <x:v>46235</x:v>
      </x:c>
      <x:c r="H782" s="11" t="n">
        <x:f>DATE(YEAR(G782),MONTH(G782),1)</x:f>
        <x:v>46235</x:v>
      </x:c>
    </x:row>
    <x:row r="783" ht="23" customHeight="1">
      <x:c r="A783" s="2" t="str">
        <x:v>SIM-202608-001</x:v>
      </x:c>
      <x:c r="B783" s="2" t="str">
        <x:v>Gaseosas</x:v>
      </x:c>
      <x:c r="C783" s="2" t="str">
        <x:v>Manzana</x:v>
      </x:c>
      <x:c r="D783" s="2" t="n">
        <x:v>1</x:v>
      </x:c>
      <x:c r="E783" s="10" t="n">
        <x:v>5000</x:v>
      </x:c>
      <x:c r="F783" s="10" t="n">
        <x:v>5000</x:v>
      </x:c>
      <x:c r="G783" s="8" t="n">
        <x:f>INDEX('Órdenes'!$B$7:$B$334,MATCH(A783,'Órdenes'!$A$7:$A$334,0))</x:f>
        <x:v>46235</x:v>
      </x:c>
      <x:c r="H783" s="11" t="n">
        <x:f>DATE(YEAR(G783),MONTH(G783),1)</x:f>
        <x:v>46235</x:v>
      </x:c>
    </x:row>
    <x:row r="784" ht="23" customHeight="1">
      <x:c r="A784" s="2" t="str">
        <x:v>SIM-202608-002</x:v>
      </x:c>
      <x:c r="B784" s="2" t="str">
        <x:v>Hamburguesa Clásica</x:v>
      </x:c>
      <x:c r="C784" s="2" t="str"/>
      <x:c r="D784" s="2" t="n">
        <x:v>2</x:v>
      </x:c>
      <x:c r="E784" s="10" t="n">
        <x:v>15000</x:v>
      </x:c>
      <x:c r="F784" s="10" t="n">
        <x:v>30000</x:v>
      </x:c>
      <x:c r="G784" s="8" t="n">
        <x:f>INDEX('Órdenes'!$B$7:$B$334,MATCH(A784,'Órdenes'!$A$7:$A$334,0))</x:f>
        <x:v>46235</x:v>
      </x:c>
      <x:c r="H784" s="11" t="n">
        <x:f>DATE(YEAR(G784),MONTH(G784),1)</x:f>
        <x:v>46235</x:v>
      </x:c>
    </x:row>
    <x:row r="785" ht="23" customHeight="1">
      <x:c r="A785" s="2" t="str">
        <x:v>SIM-202608-002</x:v>
      </x:c>
      <x:c r="B785" s="2" t="str">
        <x:v>Hamburguesa especial</x:v>
      </x:c>
      <x:c r="C785" s="2" t="str"/>
      <x:c r="D785" s="2" t="n">
        <x:v>2</x:v>
      </x:c>
      <x:c r="E785" s="10" t="n">
        <x:v>20000</x:v>
      </x:c>
      <x:c r="F785" s="10" t="n">
        <x:v>40000</x:v>
      </x:c>
      <x:c r="G785" s="8" t="n">
        <x:f>INDEX('Órdenes'!$B$7:$B$334,MATCH(A785,'Órdenes'!$A$7:$A$334,0))</x:f>
        <x:v>46235</x:v>
      </x:c>
      <x:c r="H785" s="11" t="n">
        <x:f>DATE(YEAR(G785),MONTH(G785),1)</x:f>
        <x:v>46235</x:v>
      </x:c>
    </x:row>
    <x:row r="786" ht="23" customHeight="1">
      <x:c r="A786" s="2" t="str">
        <x:v>SIM-202608-002</x:v>
      </x:c>
      <x:c r="B786" s="2" t="str">
        <x:v>Gaseosas</x:v>
      </x:c>
      <x:c r="C786" s="2" t="str">
        <x:v>Coca-Cola</x:v>
      </x:c>
      <x:c r="D786" s="2" t="n">
        <x:v>2</x:v>
      </x:c>
      <x:c r="E786" s="10" t="n">
        <x:v>5000</x:v>
      </x:c>
      <x:c r="F786" s="10" t="n">
        <x:v>10000</x:v>
      </x:c>
      <x:c r="G786" s="8" t="n">
        <x:f>INDEX('Órdenes'!$B$7:$B$334,MATCH(A786,'Órdenes'!$A$7:$A$334,0))</x:f>
        <x:v>46235</x:v>
      </x:c>
      <x:c r="H786" s="11" t="n">
        <x:f>DATE(YEAR(G786),MONTH(G786),1)</x:f>
        <x:v>46235</x:v>
      </x:c>
    </x:row>
    <x:row r="787" ht="23" customHeight="1">
      <x:c r="A787" s="2" t="str">
        <x:v>SIM-202608-002</x:v>
      </x:c>
      <x:c r="B787" s="2" t="str">
        <x:v>Gaseosas</x:v>
      </x:c>
      <x:c r="C787" s="2" t="str">
        <x:v>Sprite</x:v>
      </x:c>
      <x:c r="D787" s="2" t="n">
        <x:v>1</x:v>
      </x:c>
      <x:c r="E787" s="10" t="n">
        <x:v>5000</x:v>
      </x:c>
      <x:c r="F787" s="10" t="n">
        <x:v>5000</x:v>
      </x:c>
      <x:c r="G787" s="8" t="n">
        <x:f>INDEX('Órdenes'!$B$7:$B$334,MATCH(A787,'Órdenes'!$A$7:$A$334,0))</x:f>
        <x:v>46235</x:v>
      </x:c>
      <x:c r="H787" s="11" t="n">
        <x:f>DATE(YEAR(G787),MONTH(G787),1)</x:f>
        <x:v>46235</x:v>
      </x:c>
    </x:row>
    <x:row r="788" ht="23" customHeight="1">
      <x:c r="A788" s="2" t="str">
        <x:v>SIM-202608-003</x:v>
      </x:c>
      <x:c r="B788" s="2" t="str">
        <x:v>Hamburguesa Clásica</x:v>
      </x:c>
      <x:c r="C788" s="2" t="str"/>
      <x:c r="D788" s="2" t="n">
        <x:v>1</x:v>
      </x:c>
      <x:c r="E788" s="10" t="n">
        <x:v>15000</x:v>
      </x:c>
      <x:c r="F788" s="10" t="n">
        <x:v>15000</x:v>
      </x:c>
      <x:c r="G788" s="8" t="n">
        <x:f>INDEX('Órdenes'!$B$7:$B$334,MATCH(A788,'Órdenes'!$A$7:$A$334,0))</x:f>
        <x:v>46235</x:v>
      </x:c>
      <x:c r="H788" s="11" t="n">
        <x:f>DATE(YEAR(G788),MONTH(G788),1)</x:f>
        <x:v>46235</x:v>
      </x:c>
    </x:row>
    <x:row r="789" ht="23" customHeight="1">
      <x:c r="A789" s="2" t="str">
        <x:v>SIM-202608-003</x:v>
      </x:c>
      <x:c r="B789" s="2" t="str">
        <x:v>Salchipapas</x:v>
      </x:c>
      <x:c r="C789" s="2" t="str"/>
      <x:c r="D789" s="2" t="n">
        <x:v>1</x:v>
      </x:c>
      <x:c r="E789" s="10" t="n">
        <x:v>12000</x:v>
      </x:c>
      <x:c r="F789" s="10" t="n">
        <x:v>12000</x:v>
      </x:c>
      <x:c r="G789" s="8" t="n">
        <x:f>INDEX('Órdenes'!$B$7:$B$334,MATCH(A789,'Órdenes'!$A$7:$A$334,0))</x:f>
        <x:v>46235</x:v>
      </x:c>
      <x:c r="H789" s="11" t="n">
        <x:f>DATE(YEAR(G789),MONTH(G789),1)</x:f>
        <x:v>46235</x:v>
      </x:c>
    </x:row>
    <x:row r="790" ht="23" customHeight="1">
      <x:c r="A790" s="2" t="str">
        <x:v>SIM-202608-003</x:v>
      </x:c>
      <x:c r="B790" s="2" t="str">
        <x:v>Gaseosas</x:v>
      </x:c>
      <x:c r="C790" s="2" t="str">
        <x:v>Coca-Cola</x:v>
      </x:c>
      <x:c r="D790" s="2" t="n">
        <x:v>1</x:v>
      </x:c>
      <x:c r="E790" s="10" t="n">
        <x:v>5000</x:v>
      </x:c>
      <x:c r="F790" s="10" t="n">
        <x:v>5000</x:v>
      </x:c>
      <x:c r="G790" s="8" t="n">
        <x:f>INDEX('Órdenes'!$B$7:$B$334,MATCH(A790,'Órdenes'!$A$7:$A$334,0))</x:f>
        <x:v>46235</x:v>
      </x:c>
      <x:c r="H790" s="11" t="n">
        <x:f>DATE(YEAR(G790),MONTH(G790),1)</x:f>
        <x:v>46235</x:v>
      </x:c>
    </x:row>
    <x:row r="791" ht="23" customHeight="1">
      <x:c r="A791" s="2" t="str">
        <x:v>SIM-202608-003</x:v>
      </x:c>
      <x:c r="B791" s="2" t="str">
        <x:v>Gaseosas</x:v>
      </x:c>
      <x:c r="C791" s="2" t="str">
        <x:v>Manzana</x:v>
      </x:c>
      <x:c r="D791" s="2" t="n">
        <x:v>1</x:v>
      </x:c>
      <x:c r="E791" s="10" t="n">
        <x:v>5000</x:v>
      </x:c>
      <x:c r="F791" s="10" t="n">
        <x:v>5000</x:v>
      </x:c>
      <x:c r="G791" s="8" t="n">
        <x:f>INDEX('Órdenes'!$B$7:$B$334,MATCH(A791,'Órdenes'!$A$7:$A$334,0))</x:f>
        <x:v>46235</x:v>
      </x:c>
      <x:c r="H791" s="11" t="n">
        <x:f>DATE(YEAR(G791),MONTH(G791),1)</x:f>
        <x:v>46235</x:v>
      </x:c>
    </x:row>
    <x:row r="792" ht="23" customHeight="1">
      <x:c r="A792" s="2" t="str">
        <x:v>SIM-202608-004</x:v>
      </x:c>
      <x:c r="B792" s="2" t="str">
        <x:v>Hamburguesa Clásica</x:v>
      </x:c>
      <x:c r="C792" s="2" t="str"/>
      <x:c r="D792" s="2" t="n">
        <x:v>1</x:v>
      </x:c>
      <x:c r="E792" s="10" t="n">
        <x:v>15000</x:v>
      </x:c>
      <x:c r="F792" s="10" t="n">
        <x:v>15000</x:v>
      </x:c>
      <x:c r="G792" s="8" t="n">
        <x:f>INDEX('Órdenes'!$B$7:$B$334,MATCH(A792,'Órdenes'!$A$7:$A$334,0))</x:f>
        <x:v>46235</x:v>
      </x:c>
      <x:c r="H792" s="11" t="n">
        <x:f>DATE(YEAR(G792),MONTH(G792),1)</x:f>
        <x:v>46235</x:v>
      </x:c>
    </x:row>
    <x:row r="793" ht="23" customHeight="1">
      <x:c r="A793" s="2" t="str">
        <x:v>SIM-202608-004</x:v>
      </x:c>
      <x:c r="B793" s="2" t="str">
        <x:v>Hamburguesa especial</x:v>
      </x:c>
      <x:c r="C793" s="2" t="str"/>
      <x:c r="D793" s="2" t="n">
        <x:v>1</x:v>
      </x:c>
      <x:c r="E793" s="10" t="n">
        <x:v>20000</x:v>
      </x:c>
      <x:c r="F793" s="10" t="n">
        <x:v>20000</x:v>
      </x:c>
      <x:c r="G793" s="8" t="n">
        <x:f>INDEX('Órdenes'!$B$7:$B$334,MATCH(A793,'Órdenes'!$A$7:$A$334,0))</x:f>
        <x:v>46235</x:v>
      </x:c>
      <x:c r="H793" s="11" t="n">
        <x:f>DATE(YEAR(G793),MONTH(G793),1)</x:f>
        <x:v>46235</x:v>
      </x:c>
    </x:row>
    <x:row r="794" ht="23" customHeight="1">
      <x:c r="A794" s="2" t="str">
        <x:v>SIM-202608-004</x:v>
      </x:c>
      <x:c r="B794" s="2" t="str">
        <x:v>Salchipapas</x:v>
      </x:c>
      <x:c r="C794" s="2" t="str"/>
      <x:c r="D794" s="2" t="n">
        <x:v>1</x:v>
      </x:c>
      <x:c r="E794" s="10" t="n">
        <x:v>12000</x:v>
      </x:c>
      <x:c r="F794" s="10" t="n">
        <x:v>12000</x:v>
      </x:c>
      <x:c r="G794" s="8" t="n">
        <x:f>INDEX('Órdenes'!$B$7:$B$334,MATCH(A794,'Órdenes'!$A$7:$A$334,0))</x:f>
        <x:v>46235</x:v>
      </x:c>
      <x:c r="H794" s="11" t="n">
        <x:f>DATE(YEAR(G794),MONTH(G794),1)</x:f>
        <x:v>46235</x:v>
      </x:c>
    </x:row>
    <x:row r="795" ht="23" customHeight="1">
      <x:c r="A795" s="2" t="str">
        <x:v>SIM-202608-004</x:v>
      </x:c>
      <x:c r="B795" s="2" t="str">
        <x:v>Gaseosas</x:v>
      </x:c>
      <x:c r="C795" s="2" t="str">
        <x:v>Coca-Cola</x:v>
      </x:c>
      <x:c r="D795" s="2" t="n">
        <x:v>1</x:v>
      </x:c>
      <x:c r="E795" s="10" t="n">
        <x:v>5000</x:v>
      </x:c>
      <x:c r="F795" s="10" t="n">
        <x:v>5000</x:v>
      </x:c>
      <x:c r="G795" s="8" t="n">
        <x:f>INDEX('Órdenes'!$B$7:$B$334,MATCH(A795,'Órdenes'!$A$7:$A$334,0))</x:f>
        <x:v>46235</x:v>
      </x:c>
      <x:c r="H795" s="11" t="n">
        <x:f>DATE(YEAR(G795),MONTH(G795),1)</x:f>
        <x:v>46235</x:v>
      </x:c>
    </x:row>
    <x:row r="796" ht="23" customHeight="1">
      <x:c r="A796" s="2" t="str">
        <x:v>SIM-202608-004</x:v>
      </x:c>
      <x:c r="B796" s="2" t="str">
        <x:v>Gaseosas</x:v>
      </x:c>
      <x:c r="C796" s="2" t="str">
        <x:v>Sprite</x:v>
      </x:c>
      <x:c r="D796" s="2" t="n">
        <x:v>1</x:v>
      </x:c>
      <x:c r="E796" s="10" t="n">
        <x:v>5000</x:v>
      </x:c>
      <x:c r="F796" s="10" t="n">
        <x:v>5000</x:v>
      </x:c>
      <x:c r="G796" s="8" t="n">
        <x:f>INDEX('Órdenes'!$B$7:$B$334,MATCH(A796,'Órdenes'!$A$7:$A$334,0))</x:f>
        <x:v>46235</x:v>
      </x:c>
      <x:c r="H796" s="11" t="n">
        <x:f>DATE(YEAR(G796),MONTH(G796),1)</x:f>
        <x:v>46235</x:v>
      </x:c>
    </x:row>
    <x:row r="797" ht="23" customHeight="1">
      <x:c r="A797" s="2" t="str">
        <x:v>SIM-202608-005</x:v>
      </x:c>
      <x:c r="B797" s="2" t="str">
        <x:v>Hamburguesa Clásica</x:v>
      </x:c>
      <x:c r="C797" s="2" t="str"/>
      <x:c r="D797" s="2" t="n">
        <x:v>2</x:v>
      </x:c>
      <x:c r="E797" s="10" t="n">
        <x:v>15000</x:v>
      </x:c>
      <x:c r="F797" s="10" t="n">
        <x:v>30000</x:v>
      </x:c>
      <x:c r="G797" s="8" t="n">
        <x:f>INDEX('Órdenes'!$B$7:$B$334,MATCH(A797,'Órdenes'!$A$7:$A$334,0))</x:f>
        <x:v>46236</x:v>
      </x:c>
      <x:c r="H797" s="11" t="n">
        <x:f>DATE(YEAR(G797),MONTH(G797),1)</x:f>
        <x:v>46235</x:v>
      </x:c>
    </x:row>
    <x:row r="798" ht="23" customHeight="1">
      <x:c r="A798" s="2" t="str">
        <x:v>SIM-202608-005</x:v>
      </x:c>
      <x:c r="B798" s="2" t="str">
        <x:v>Gaseosas</x:v>
      </x:c>
      <x:c r="C798" s="2" t="str">
        <x:v>Coca-Cola</x:v>
      </x:c>
      <x:c r="D798" s="2" t="n">
        <x:v>2</x:v>
      </x:c>
      <x:c r="E798" s="10" t="n">
        <x:v>5000</x:v>
      </x:c>
      <x:c r="F798" s="10" t="n">
        <x:v>10000</x:v>
      </x:c>
      <x:c r="G798" s="8" t="n">
        <x:f>INDEX('Órdenes'!$B$7:$B$334,MATCH(A798,'Órdenes'!$A$7:$A$334,0))</x:f>
        <x:v>46236</x:v>
      </x:c>
      <x:c r="H798" s="11" t="n">
        <x:f>DATE(YEAR(G798),MONTH(G798),1)</x:f>
        <x:v>46235</x:v>
      </x:c>
    </x:row>
    <x:row r="799" ht="23" customHeight="1">
      <x:c r="A799" s="2" t="str">
        <x:v>SIM-202608-006</x:v>
      </x:c>
      <x:c r="B799" s="2" t="str">
        <x:v>Hamburguesa Clásica</x:v>
      </x:c>
      <x:c r="C799" s="2" t="str"/>
      <x:c r="D799" s="2" t="n">
        <x:v>1</x:v>
      </x:c>
      <x:c r="E799" s="10" t="n">
        <x:v>15000</x:v>
      </x:c>
      <x:c r="F799" s="10" t="n">
        <x:v>15000</x:v>
      </x:c>
      <x:c r="G799" s="8" t="n">
        <x:f>INDEX('Órdenes'!$B$7:$B$334,MATCH(A799,'Órdenes'!$A$7:$A$334,0))</x:f>
        <x:v>46236</x:v>
      </x:c>
      <x:c r="H799" s="11" t="n">
        <x:f>DATE(YEAR(G799),MONTH(G799),1)</x:f>
        <x:v>46235</x:v>
      </x:c>
    </x:row>
    <x:row r="800" ht="23" customHeight="1">
      <x:c r="A800" s="2" t="str">
        <x:v>SIM-202608-006</x:v>
      </x:c>
      <x:c r="B800" s="2" t="str">
        <x:v>Perro caliente</x:v>
      </x:c>
      <x:c r="C800" s="2" t="str"/>
      <x:c r="D800" s="2" t="n">
        <x:v>1</x:v>
      </x:c>
      <x:c r="E800" s="10" t="n">
        <x:v>13000</x:v>
      </x:c>
      <x:c r="F800" s="10" t="n">
        <x:v>13000</x:v>
      </x:c>
      <x:c r="G800" s="8" t="n">
        <x:f>INDEX('Órdenes'!$B$7:$B$334,MATCH(A800,'Órdenes'!$A$7:$A$334,0))</x:f>
        <x:v>46236</x:v>
      </x:c>
      <x:c r="H800" s="11" t="n">
        <x:f>DATE(YEAR(G800),MONTH(G800),1)</x:f>
        <x:v>46235</x:v>
      </x:c>
    </x:row>
    <x:row r="801" ht="23" customHeight="1">
      <x:c r="A801" s="2" t="str">
        <x:v>SIM-202608-006</x:v>
      </x:c>
      <x:c r="B801" s="2" t="str">
        <x:v>Gaseosas</x:v>
      </x:c>
      <x:c r="C801" s="2" t="str">
        <x:v>Coca-Cola</x:v>
      </x:c>
      <x:c r="D801" s="2" t="n">
        <x:v>1</x:v>
      </x:c>
      <x:c r="E801" s="10" t="n">
        <x:v>5000</x:v>
      </x:c>
      <x:c r="F801" s="10" t="n">
        <x:v>5000</x:v>
      </x:c>
      <x:c r="G801" s="8" t="n">
        <x:f>INDEX('Órdenes'!$B$7:$B$334,MATCH(A801,'Órdenes'!$A$7:$A$334,0))</x:f>
        <x:v>46236</x:v>
      </x:c>
      <x:c r="H801" s="11" t="n">
        <x:f>DATE(YEAR(G801),MONTH(G801),1)</x:f>
        <x:v>46235</x:v>
      </x:c>
    </x:row>
    <x:row r="802" ht="23" customHeight="1">
      <x:c r="A802" s="2" t="str">
        <x:v>SIM-202608-007</x:v>
      </x:c>
      <x:c r="B802" s="2" t="str">
        <x:v>Hamburguesa especial</x:v>
      </x:c>
      <x:c r="C802" s="2" t="str"/>
      <x:c r="D802" s="2" t="n">
        <x:v>1</x:v>
      </x:c>
      <x:c r="E802" s="10" t="n">
        <x:v>20000</x:v>
      </x:c>
      <x:c r="F802" s="10" t="n">
        <x:v>20000</x:v>
      </x:c>
      <x:c r="G802" s="8" t="n">
        <x:f>INDEX('Órdenes'!$B$7:$B$334,MATCH(A802,'Órdenes'!$A$7:$A$334,0))</x:f>
        <x:v>46238</x:v>
      </x:c>
      <x:c r="H802" s="11" t="n">
        <x:f>DATE(YEAR(G802),MONTH(G802),1)</x:f>
        <x:v>46235</x:v>
      </x:c>
    </x:row>
    <x:row r="803" ht="23" customHeight="1">
      <x:c r="A803" s="2" t="str">
        <x:v>SIM-202608-007</x:v>
      </x:c>
      <x:c r="B803" s="2" t="str">
        <x:v>Perro caliente</x:v>
      </x:c>
      <x:c r="C803" s="2" t="str"/>
      <x:c r="D803" s="2" t="n">
        <x:v>1</x:v>
      </x:c>
      <x:c r="E803" s="10" t="n">
        <x:v>13000</x:v>
      </x:c>
      <x:c r="F803" s="10" t="n">
        <x:v>13000</x:v>
      </x:c>
      <x:c r="G803" s="8" t="n">
        <x:f>INDEX('Órdenes'!$B$7:$B$334,MATCH(A803,'Órdenes'!$A$7:$A$334,0))</x:f>
        <x:v>46238</x:v>
      </x:c>
      <x:c r="H803" s="11" t="n">
        <x:f>DATE(YEAR(G803),MONTH(G803),1)</x:f>
        <x:v>46235</x:v>
      </x:c>
    </x:row>
    <x:row r="804" ht="23" customHeight="1">
      <x:c r="A804" s="2" t="str">
        <x:v>SIM-202608-007</x:v>
      </x:c>
      <x:c r="B804" s="2" t="str">
        <x:v>Gaseosas</x:v>
      </x:c>
      <x:c r="C804" s="2" t="str">
        <x:v>Coca-Cola</x:v>
      </x:c>
      <x:c r="D804" s="2" t="n">
        <x:v>1</x:v>
      </x:c>
      <x:c r="E804" s="10" t="n">
        <x:v>5000</x:v>
      </x:c>
      <x:c r="F804" s="10" t="n">
        <x:v>5000</x:v>
      </x:c>
      <x:c r="G804" s="8" t="n">
        <x:f>INDEX('Órdenes'!$B$7:$B$334,MATCH(A804,'Órdenes'!$A$7:$A$334,0))</x:f>
        <x:v>46238</x:v>
      </x:c>
      <x:c r="H804" s="11" t="n">
        <x:f>DATE(YEAR(G804),MONTH(G804),1)</x:f>
        <x:v>46235</x:v>
      </x:c>
    </x:row>
    <x:row r="805" ht="23" customHeight="1">
      <x:c r="A805" s="2" t="str">
        <x:v>SIM-202608-007</x:v>
      </x:c>
      <x:c r="B805" s="2" t="str">
        <x:v>Gaseosas</x:v>
      </x:c>
      <x:c r="C805" s="2" t="str">
        <x:v>Sprite</x:v>
      </x:c>
      <x:c r="D805" s="2" t="n">
        <x:v>1</x:v>
      </x:c>
      <x:c r="E805" s="10" t="n">
        <x:v>5000</x:v>
      </x:c>
      <x:c r="F805" s="10" t="n">
        <x:v>5000</x:v>
      </x:c>
      <x:c r="G805" s="8" t="n">
        <x:f>INDEX('Órdenes'!$B$7:$B$334,MATCH(A805,'Órdenes'!$A$7:$A$334,0))</x:f>
        <x:v>46238</x:v>
      </x:c>
      <x:c r="H805" s="11" t="n">
        <x:f>DATE(YEAR(G805),MONTH(G805),1)</x:f>
        <x:v>46235</x:v>
      </x:c>
    </x:row>
    <x:row r="806" ht="23" customHeight="1">
      <x:c r="A806" s="2" t="str">
        <x:v>SIM-202608-008</x:v>
      </x:c>
      <x:c r="B806" s="2" t="str">
        <x:v>Hamburguesa Clásica</x:v>
      </x:c>
      <x:c r="C806" s="2" t="str"/>
      <x:c r="D806" s="2" t="n">
        <x:v>1</x:v>
      </x:c>
      <x:c r="E806" s="10" t="n">
        <x:v>15000</x:v>
      </x:c>
      <x:c r="F806" s="10" t="n">
        <x:v>15000</x:v>
      </x:c>
      <x:c r="G806" s="8" t="n">
        <x:f>INDEX('Órdenes'!$B$7:$B$334,MATCH(A806,'Órdenes'!$A$7:$A$334,0))</x:f>
        <x:v>46242</x:v>
      </x:c>
      <x:c r="H806" s="11" t="n">
        <x:f>DATE(YEAR(G806),MONTH(G806),1)</x:f>
        <x:v>46235</x:v>
      </x:c>
    </x:row>
    <x:row r="807" ht="23" customHeight="1">
      <x:c r="A807" s="2" t="str">
        <x:v>SIM-202608-008</x:v>
      </x:c>
      <x:c r="B807" s="2" t="str">
        <x:v>Hamburguesa especial</x:v>
      </x:c>
      <x:c r="C807" s="2" t="str"/>
      <x:c r="D807" s="2" t="n">
        <x:v>1</x:v>
      </x:c>
      <x:c r="E807" s="10" t="n">
        <x:v>20000</x:v>
      </x:c>
      <x:c r="F807" s="10" t="n">
        <x:v>20000</x:v>
      </x:c>
      <x:c r="G807" s="8" t="n">
        <x:f>INDEX('Órdenes'!$B$7:$B$334,MATCH(A807,'Órdenes'!$A$7:$A$334,0))</x:f>
        <x:v>46242</x:v>
      </x:c>
      <x:c r="H807" s="11" t="n">
        <x:f>DATE(YEAR(G807),MONTH(G807),1)</x:f>
        <x:v>46235</x:v>
      </x:c>
    </x:row>
    <x:row r="808" ht="23" customHeight="1">
      <x:c r="A808" s="2" t="str">
        <x:v>SIM-202608-008</x:v>
      </x:c>
      <x:c r="B808" s="2" t="str">
        <x:v>Gaseosas</x:v>
      </x:c>
      <x:c r="C808" s="2" t="str">
        <x:v>Coca-Cola</x:v>
      </x:c>
      <x:c r="D808" s="2" t="n">
        <x:v>2</x:v>
      </x:c>
      <x:c r="E808" s="10" t="n">
        <x:v>5000</x:v>
      </x:c>
      <x:c r="F808" s="10" t="n">
        <x:v>10000</x:v>
      </x:c>
      <x:c r="G808" s="8" t="n">
        <x:f>INDEX('Órdenes'!$B$7:$B$334,MATCH(A808,'Órdenes'!$A$7:$A$334,0))</x:f>
        <x:v>46242</x:v>
      </x:c>
      <x:c r="H808" s="11" t="n">
        <x:f>DATE(YEAR(G808),MONTH(G808),1)</x:f>
        <x:v>46235</x:v>
      </x:c>
    </x:row>
    <x:row r="809" ht="23" customHeight="1">
      <x:c r="A809" s="2" t="str">
        <x:v>SIM-202608-009</x:v>
      </x:c>
      <x:c r="B809" s="2" t="str">
        <x:v>Hamburguesa especial</x:v>
      </x:c>
      <x:c r="C809" s="2" t="str"/>
      <x:c r="D809" s="2" t="n">
        <x:v>1</x:v>
      </x:c>
      <x:c r="E809" s="10" t="n">
        <x:v>20000</x:v>
      </x:c>
      <x:c r="F809" s="10" t="n">
        <x:v>20000</x:v>
      </x:c>
      <x:c r="G809" s="8" t="n">
        <x:f>INDEX('Órdenes'!$B$7:$B$334,MATCH(A809,'Órdenes'!$A$7:$A$334,0))</x:f>
        <x:v>46242</x:v>
      </x:c>
      <x:c r="H809" s="11" t="n">
        <x:f>DATE(YEAR(G809),MONTH(G809),1)</x:f>
        <x:v>46235</x:v>
      </x:c>
    </x:row>
    <x:row r="810" ht="23" customHeight="1">
      <x:c r="A810" s="2" t="str">
        <x:v>SIM-202608-009</x:v>
      </x:c>
      <x:c r="B810" s="2" t="str">
        <x:v>Salchipapas</x:v>
      </x:c>
      <x:c r="C810" s="2" t="str"/>
      <x:c r="D810" s="2" t="n">
        <x:v>1</x:v>
      </x:c>
      <x:c r="E810" s="10" t="n">
        <x:v>12000</x:v>
      </x:c>
      <x:c r="F810" s="10" t="n">
        <x:v>12000</x:v>
      </x:c>
      <x:c r="G810" s="8" t="n">
        <x:f>INDEX('Órdenes'!$B$7:$B$334,MATCH(A810,'Órdenes'!$A$7:$A$334,0))</x:f>
        <x:v>46242</x:v>
      </x:c>
      <x:c r="H810" s="11" t="n">
        <x:f>DATE(YEAR(G810),MONTH(G810),1)</x:f>
        <x:v>46235</x:v>
      </x:c>
    </x:row>
    <x:row r="811" ht="23" customHeight="1">
      <x:c r="A811" s="2" t="str">
        <x:v>SIM-202608-009</x:v>
      </x:c>
      <x:c r="B811" s="2" t="str">
        <x:v>Gaseosas</x:v>
      </x:c>
      <x:c r="C811" s="2" t="str">
        <x:v>Coca-Cola</x:v>
      </x:c>
      <x:c r="D811" s="2" t="n">
        <x:v>1</x:v>
      </x:c>
      <x:c r="E811" s="10" t="n">
        <x:v>5000</x:v>
      </x:c>
      <x:c r="F811" s="10" t="n">
        <x:v>5000</x:v>
      </x:c>
      <x:c r="G811" s="8" t="n">
        <x:f>INDEX('Órdenes'!$B$7:$B$334,MATCH(A811,'Órdenes'!$A$7:$A$334,0))</x:f>
        <x:v>46242</x:v>
      </x:c>
      <x:c r="H811" s="11" t="n">
        <x:f>DATE(YEAR(G811),MONTH(G811),1)</x:f>
        <x:v>46235</x:v>
      </x:c>
    </x:row>
    <x:row r="812" ht="23" customHeight="1">
      <x:c r="A812" s="2" t="str">
        <x:v>SIM-202608-009</x:v>
      </x:c>
      <x:c r="B812" s="2" t="str">
        <x:v>Gaseosas</x:v>
      </x:c>
      <x:c r="C812" s="2" t="str">
        <x:v>Sprite</x:v>
      </x:c>
      <x:c r="D812" s="2" t="n">
        <x:v>1</x:v>
      </x:c>
      <x:c r="E812" s="10" t="n">
        <x:v>5000</x:v>
      </x:c>
      <x:c r="F812" s="10" t="n">
        <x:v>5000</x:v>
      </x:c>
      <x:c r="G812" s="8" t="n">
        <x:f>INDEX('Órdenes'!$B$7:$B$334,MATCH(A812,'Órdenes'!$A$7:$A$334,0))</x:f>
        <x:v>46242</x:v>
      </x:c>
      <x:c r="H812" s="11" t="n">
        <x:f>DATE(YEAR(G812),MONTH(G812),1)</x:f>
        <x:v>46235</x:v>
      </x:c>
    </x:row>
    <x:row r="813" ht="23" customHeight="1">
      <x:c r="A813" s="2" t="str">
        <x:v>SIM-202608-010</x:v>
      </x:c>
      <x:c r="B813" s="2" t="str">
        <x:v>Perro caliente</x:v>
      </x:c>
      <x:c r="C813" s="2" t="str"/>
      <x:c r="D813" s="2" t="n">
        <x:v>1</x:v>
      </x:c>
      <x:c r="E813" s="10" t="n">
        <x:v>13000</x:v>
      </x:c>
      <x:c r="F813" s="10" t="n">
        <x:v>13000</x:v>
      </x:c>
      <x:c r="G813" s="8" t="n">
        <x:f>INDEX('Órdenes'!$B$7:$B$334,MATCH(A813,'Órdenes'!$A$7:$A$334,0))</x:f>
        <x:v>46242</x:v>
      </x:c>
      <x:c r="H813" s="11" t="n">
        <x:f>DATE(YEAR(G813),MONTH(G813),1)</x:f>
        <x:v>46235</x:v>
      </x:c>
    </x:row>
    <x:row r="814" ht="23" customHeight="1">
      <x:c r="A814" s="2" t="str">
        <x:v>SIM-202608-010</x:v>
      </x:c>
      <x:c r="B814" s="2" t="str">
        <x:v>Gaseosas</x:v>
      </x:c>
      <x:c r="C814" s="2" t="str">
        <x:v>Sprite</x:v>
      </x:c>
      <x:c r="D814" s="2" t="n">
        <x:v>1</x:v>
      </x:c>
      <x:c r="E814" s="10" t="n">
        <x:v>5000</x:v>
      </x:c>
      <x:c r="F814" s="10" t="n">
        <x:v>5000</x:v>
      </x:c>
      <x:c r="G814" s="8" t="n">
        <x:f>INDEX('Órdenes'!$B$7:$B$334,MATCH(A814,'Órdenes'!$A$7:$A$334,0))</x:f>
        <x:v>46242</x:v>
      </x:c>
      <x:c r="H814" s="11" t="n">
        <x:f>DATE(YEAR(G814),MONTH(G814),1)</x:f>
        <x:v>46235</x:v>
      </x:c>
    </x:row>
    <x:row r="815" ht="23" customHeight="1">
      <x:c r="A815" s="2" t="str">
        <x:v>SIM-202608-011</x:v>
      </x:c>
      <x:c r="B815" s="2" t="str">
        <x:v>Hamburguesa Clásica</x:v>
      </x:c>
      <x:c r="C815" s="2" t="str"/>
      <x:c r="D815" s="2" t="n">
        <x:v>1</x:v>
      </x:c>
      <x:c r="E815" s="10" t="n">
        <x:v>15000</x:v>
      </x:c>
      <x:c r="F815" s="10" t="n">
        <x:v>15000</x:v>
      </x:c>
      <x:c r="G815" s="8" t="n">
        <x:f>INDEX('Órdenes'!$B$7:$B$334,MATCH(A815,'Órdenes'!$A$7:$A$334,0))</x:f>
        <x:v>46242</x:v>
      </x:c>
      <x:c r="H815" s="11" t="n">
        <x:f>DATE(YEAR(G815),MONTH(G815),1)</x:f>
        <x:v>46235</x:v>
      </x:c>
    </x:row>
    <x:row r="816" ht="23" customHeight="1">
      <x:c r="A816" s="2" t="str">
        <x:v>SIM-202608-011</x:v>
      </x:c>
      <x:c r="B816" s="2" t="str">
        <x:v>Hamburguesa especial</x:v>
      </x:c>
      <x:c r="C816" s="2" t="str"/>
      <x:c r="D816" s="2" t="n">
        <x:v>1</x:v>
      </x:c>
      <x:c r="E816" s="10" t="n">
        <x:v>20000</x:v>
      </x:c>
      <x:c r="F816" s="10" t="n">
        <x:v>20000</x:v>
      </x:c>
      <x:c r="G816" s="8" t="n">
        <x:f>INDEX('Órdenes'!$B$7:$B$334,MATCH(A816,'Órdenes'!$A$7:$A$334,0))</x:f>
        <x:v>46242</x:v>
      </x:c>
      <x:c r="H816" s="11" t="n">
        <x:f>DATE(YEAR(G816),MONTH(G816),1)</x:f>
        <x:v>46235</x:v>
      </x:c>
    </x:row>
    <x:row r="817" ht="23" customHeight="1">
      <x:c r="A817" s="2" t="str">
        <x:v>SIM-202608-011</x:v>
      </x:c>
      <x:c r="B817" s="2" t="str">
        <x:v>Salchipapas</x:v>
      </x:c>
      <x:c r="C817" s="2" t="str"/>
      <x:c r="D817" s="2" t="n">
        <x:v>1</x:v>
      </x:c>
      <x:c r="E817" s="10" t="n">
        <x:v>12000</x:v>
      </x:c>
      <x:c r="F817" s="10" t="n">
        <x:v>12000</x:v>
      </x:c>
      <x:c r="G817" s="8" t="n">
        <x:f>INDEX('Órdenes'!$B$7:$B$334,MATCH(A817,'Órdenes'!$A$7:$A$334,0))</x:f>
        <x:v>46242</x:v>
      </x:c>
      <x:c r="H817" s="11" t="n">
        <x:f>DATE(YEAR(G817),MONTH(G817),1)</x:f>
        <x:v>46235</x:v>
      </x:c>
    </x:row>
    <x:row r="818" ht="23" customHeight="1">
      <x:c r="A818" s="2" t="str">
        <x:v>SIM-202608-011</x:v>
      </x:c>
      <x:c r="B818" s="2" t="str">
        <x:v>Gaseosas</x:v>
      </x:c>
      <x:c r="C818" s="2" t="str">
        <x:v>Coca-Cola</x:v>
      </x:c>
      <x:c r="D818" s="2" t="n">
        <x:v>1</x:v>
      </x:c>
      <x:c r="E818" s="10" t="n">
        <x:v>5000</x:v>
      </x:c>
      <x:c r="F818" s="10" t="n">
        <x:v>5000</x:v>
      </x:c>
      <x:c r="G818" s="8" t="n">
        <x:f>INDEX('Órdenes'!$B$7:$B$334,MATCH(A818,'Órdenes'!$A$7:$A$334,0))</x:f>
        <x:v>46242</x:v>
      </x:c>
      <x:c r="H818" s="11" t="n">
        <x:f>DATE(YEAR(G818),MONTH(G818),1)</x:f>
        <x:v>46235</x:v>
      </x:c>
    </x:row>
    <x:row r="819" ht="23" customHeight="1">
      <x:c r="A819" s="2" t="str">
        <x:v>SIM-202608-011</x:v>
      </x:c>
      <x:c r="B819" s="2" t="str">
        <x:v>Gaseosas</x:v>
      </x:c>
      <x:c r="C819" s="2" t="str">
        <x:v>Sprite</x:v>
      </x:c>
      <x:c r="D819" s="2" t="n">
        <x:v>2</x:v>
      </x:c>
      <x:c r="E819" s="10" t="n">
        <x:v>5000</x:v>
      </x:c>
      <x:c r="F819" s="10" t="n">
        <x:v>10000</x:v>
      </x:c>
      <x:c r="G819" s="8" t="n">
        <x:f>INDEX('Órdenes'!$B$7:$B$334,MATCH(A819,'Órdenes'!$A$7:$A$334,0))</x:f>
        <x:v>46242</x:v>
      </x:c>
      <x:c r="H819" s="11" t="n">
        <x:f>DATE(YEAR(G819),MONTH(G819),1)</x:f>
        <x:v>46235</x:v>
      </x:c>
    </x:row>
    <x:row r="820" ht="23" customHeight="1">
      <x:c r="A820" s="2" t="str">
        <x:v>SIM-202608-012</x:v>
      </x:c>
      <x:c r="B820" s="2" t="str">
        <x:v>Hamburguesa Clásica</x:v>
      </x:c>
      <x:c r="C820" s="2" t="str"/>
      <x:c r="D820" s="2" t="n">
        <x:v>1</x:v>
      </x:c>
      <x:c r="E820" s="10" t="n">
        <x:v>15000</x:v>
      </x:c>
      <x:c r="F820" s="10" t="n">
        <x:v>15000</x:v>
      </x:c>
      <x:c r="G820" s="8" t="n">
        <x:f>INDEX('Órdenes'!$B$7:$B$334,MATCH(A820,'Órdenes'!$A$7:$A$334,0))</x:f>
        <x:v>46242</x:v>
      </x:c>
      <x:c r="H820" s="11" t="n">
        <x:f>DATE(YEAR(G820),MONTH(G820),1)</x:f>
        <x:v>46235</x:v>
      </x:c>
    </x:row>
    <x:row r="821" ht="23" customHeight="1">
      <x:c r="A821" s="2" t="str">
        <x:v>SIM-202608-012</x:v>
      </x:c>
      <x:c r="B821" s="2" t="str">
        <x:v>Gaseosas</x:v>
      </x:c>
      <x:c r="C821" s="2" t="str">
        <x:v>Sprite</x:v>
      </x:c>
      <x:c r="D821" s="2" t="n">
        <x:v>1</x:v>
      </x:c>
      <x:c r="E821" s="10" t="n">
        <x:v>5000</x:v>
      </x:c>
      <x:c r="F821" s="10" t="n">
        <x:v>5000</x:v>
      </x:c>
      <x:c r="G821" s="8" t="n">
        <x:f>INDEX('Órdenes'!$B$7:$B$334,MATCH(A821,'Órdenes'!$A$7:$A$334,0))</x:f>
        <x:v>46242</x:v>
      </x:c>
      <x:c r="H821" s="11" t="n">
        <x:f>DATE(YEAR(G821),MONTH(G821),1)</x:f>
        <x:v>46235</x:v>
      </x:c>
    </x:row>
    <x:row r="822" ht="23" customHeight="1">
      <x:c r="A822" s="2" t="str">
        <x:v>SIM-202608-013</x:v>
      </x:c>
      <x:c r="B822" s="2" t="str">
        <x:v>Hamburguesa Clásica</x:v>
      </x:c>
      <x:c r="C822" s="2" t="str"/>
      <x:c r="D822" s="2" t="n">
        <x:v>2</x:v>
      </x:c>
      <x:c r="E822" s="10" t="n">
        <x:v>15000</x:v>
      </x:c>
      <x:c r="F822" s="10" t="n">
        <x:v>30000</x:v>
      </x:c>
      <x:c r="G822" s="8" t="n">
        <x:f>INDEX('Órdenes'!$B$7:$B$334,MATCH(A822,'Órdenes'!$A$7:$A$334,0))</x:f>
        <x:v>46242</x:v>
      </x:c>
      <x:c r="H822" s="11" t="n">
        <x:f>DATE(YEAR(G822),MONTH(G822),1)</x:f>
        <x:v>46235</x:v>
      </x:c>
    </x:row>
    <x:row r="823" ht="23" customHeight="1">
      <x:c r="A823" s="2" t="str">
        <x:v>SIM-202608-013</x:v>
      </x:c>
      <x:c r="B823" s="2" t="str">
        <x:v>Perro caliente</x:v>
      </x:c>
      <x:c r="C823" s="2" t="str"/>
      <x:c r="D823" s="2" t="n">
        <x:v>1</x:v>
      </x:c>
      <x:c r="E823" s="10" t="n">
        <x:v>13000</x:v>
      </x:c>
      <x:c r="F823" s="10" t="n">
        <x:v>13000</x:v>
      </x:c>
      <x:c r="G823" s="8" t="n">
        <x:f>INDEX('Órdenes'!$B$7:$B$334,MATCH(A823,'Órdenes'!$A$7:$A$334,0))</x:f>
        <x:v>46242</x:v>
      </x:c>
      <x:c r="H823" s="11" t="n">
        <x:f>DATE(YEAR(G823),MONTH(G823),1)</x:f>
        <x:v>46235</x:v>
      </x:c>
    </x:row>
    <x:row r="824" ht="23" customHeight="1">
      <x:c r="A824" s="2" t="str">
        <x:v>SIM-202608-013</x:v>
      </x:c>
      <x:c r="B824" s="2" t="str">
        <x:v>Salchipapas</x:v>
      </x:c>
      <x:c r="C824" s="2" t="str"/>
      <x:c r="D824" s="2" t="n">
        <x:v>1</x:v>
      </x:c>
      <x:c r="E824" s="10" t="n">
        <x:v>12000</x:v>
      </x:c>
      <x:c r="F824" s="10" t="n">
        <x:v>12000</x:v>
      </x:c>
      <x:c r="G824" s="8" t="n">
        <x:f>INDEX('Órdenes'!$B$7:$B$334,MATCH(A824,'Órdenes'!$A$7:$A$334,0))</x:f>
        <x:v>46242</x:v>
      </x:c>
      <x:c r="H824" s="11" t="n">
        <x:f>DATE(YEAR(G824),MONTH(G824),1)</x:f>
        <x:v>46235</x:v>
      </x:c>
    </x:row>
    <x:row r="825" ht="23" customHeight="1">
      <x:c r="A825" s="2" t="str">
        <x:v>SIM-202608-013</x:v>
      </x:c>
      <x:c r="B825" s="2" t="str">
        <x:v>Gaseosas</x:v>
      </x:c>
      <x:c r="C825" s="2" t="str">
        <x:v>Coca-Cola</x:v>
      </x:c>
      <x:c r="D825" s="2" t="n">
        <x:v>1</x:v>
      </x:c>
      <x:c r="E825" s="10" t="n">
        <x:v>5000</x:v>
      </x:c>
      <x:c r="F825" s="10" t="n">
        <x:v>5000</x:v>
      </x:c>
      <x:c r="G825" s="8" t="n">
        <x:f>INDEX('Órdenes'!$B$7:$B$334,MATCH(A825,'Órdenes'!$A$7:$A$334,0))</x:f>
        <x:v>46242</x:v>
      </x:c>
      <x:c r="H825" s="11" t="n">
        <x:f>DATE(YEAR(G825),MONTH(G825),1)</x:f>
        <x:v>46235</x:v>
      </x:c>
    </x:row>
    <x:row r="826" ht="23" customHeight="1">
      <x:c r="A826" s="2" t="str">
        <x:v>SIM-202608-013</x:v>
      </x:c>
      <x:c r="B826" s="2" t="str">
        <x:v>Gaseosas</x:v>
      </x:c>
      <x:c r="C826" s="2" t="str">
        <x:v>Sprite</x:v>
      </x:c>
      <x:c r="D826" s="2" t="n">
        <x:v>1</x:v>
      </x:c>
      <x:c r="E826" s="10" t="n">
        <x:v>5000</x:v>
      </x:c>
      <x:c r="F826" s="10" t="n">
        <x:v>5000</x:v>
      </x:c>
      <x:c r="G826" s="8" t="n">
        <x:f>INDEX('Órdenes'!$B$7:$B$334,MATCH(A826,'Órdenes'!$A$7:$A$334,0))</x:f>
        <x:v>46242</x:v>
      </x:c>
      <x:c r="H826" s="11" t="n">
        <x:f>DATE(YEAR(G826),MONTH(G826),1)</x:f>
        <x:v>46235</x:v>
      </x:c>
    </x:row>
    <x:row r="827" ht="23" customHeight="1">
      <x:c r="A827" s="2" t="str">
        <x:v>SIM-202608-014</x:v>
      </x:c>
      <x:c r="B827" s="2" t="str">
        <x:v>Hamburguesa especial</x:v>
      </x:c>
      <x:c r="C827" s="2" t="str"/>
      <x:c r="D827" s="2" t="n">
        <x:v>2</x:v>
      </x:c>
      <x:c r="E827" s="10" t="n">
        <x:v>20000</x:v>
      </x:c>
      <x:c r="F827" s="10" t="n">
        <x:v>40000</x:v>
      </x:c>
      <x:c r="G827" s="8" t="n">
        <x:f>INDEX('Órdenes'!$B$7:$B$334,MATCH(A827,'Órdenes'!$A$7:$A$334,0))</x:f>
        <x:v>46243</x:v>
      </x:c>
      <x:c r="H827" s="11" t="n">
        <x:f>DATE(YEAR(G827),MONTH(G827),1)</x:f>
        <x:v>46235</x:v>
      </x:c>
    </x:row>
    <x:row r="828" ht="23" customHeight="1">
      <x:c r="A828" s="2" t="str">
        <x:v>SIM-202608-014</x:v>
      </x:c>
      <x:c r="B828" s="2" t="str">
        <x:v>Perro caliente</x:v>
      </x:c>
      <x:c r="C828" s="2" t="str"/>
      <x:c r="D828" s="2" t="n">
        <x:v>1</x:v>
      </x:c>
      <x:c r="E828" s="10" t="n">
        <x:v>13000</x:v>
      </x:c>
      <x:c r="F828" s="10" t="n">
        <x:v>13000</x:v>
      </x:c>
      <x:c r="G828" s="8" t="n">
        <x:f>INDEX('Órdenes'!$B$7:$B$334,MATCH(A828,'Órdenes'!$A$7:$A$334,0))</x:f>
        <x:v>46243</x:v>
      </x:c>
      <x:c r="H828" s="11" t="n">
        <x:f>DATE(YEAR(G828),MONTH(G828),1)</x:f>
        <x:v>46235</x:v>
      </x:c>
    </x:row>
    <x:row r="829" ht="23" customHeight="1">
      <x:c r="A829" s="2" t="str">
        <x:v>SIM-202608-014</x:v>
      </x:c>
      <x:c r="B829" s="2" t="str">
        <x:v>Salchipapas</x:v>
      </x:c>
      <x:c r="C829" s="2" t="str"/>
      <x:c r="D829" s="2" t="n">
        <x:v>1</x:v>
      </x:c>
      <x:c r="E829" s="10" t="n">
        <x:v>12000</x:v>
      </x:c>
      <x:c r="F829" s="10" t="n">
        <x:v>12000</x:v>
      </x:c>
      <x:c r="G829" s="8" t="n">
        <x:f>INDEX('Órdenes'!$B$7:$B$334,MATCH(A829,'Órdenes'!$A$7:$A$334,0))</x:f>
        <x:v>46243</x:v>
      </x:c>
      <x:c r="H829" s="11" t="n">
        <x:f>DATE(YEAR(G829),MONTH(G829),1)</x:f>
        <x:v>46235</x:v>
      </x:c>
    </x:row>
    <x:row r="830" ht="23" customHeight="1">
      <x:c r="A830" s="2" t="str">
        <x:v>SIM-202608-014</x:v>
      </x:c>
      <x:c r="B830" s="2" t="str">
        <x:v>Gaseosas</x:v>
      </x:c>
      <x:c r="C830" s="2" t="str">
        <x:v>Coca-Cola</x:v>
      </x:c>
      <x:c r="D830" s="2" t="n">
        <x:v>1</x:v>
      </x:c>
      <x:c r="E830" s="10" t="n">
        <x:v>5000</x:v>
      </x:c>
      <x:c r="F830" s="10" t="n">
        <x:v>5000</x:v>
      </x:c>
      <x:c r="G830" s="8" t="n">
        <x:f>INDEX('Órdenes'!$B$7:$B$334,MATCH(A830,'Órdenes'!$A$7:$A$334,0))</x:f>
        <x:v>46243</x:v>
      </x:c>
      <x:c r="H830" s="11" t="n">
        <x:f>DATE(YEAR(G830),MONTH(G830),1)</x:f>
        <x:v>46235</x:v>
      </x:c>
    </x:row>
    <x:row r="831" ht="23" customHeight="1">
      <x:c r="A831" s="2" t="str">
        <x:v>SIM-202608-014</x:v>
      </x:c>
      <x:c r="B831" s="2" t="str">
        <x:v>Gaseosas</x:v>
      </x:c>
      <x:c r="C831" s="2" t="str">
        <x:v>Sprite</x:v>
      </x:c>
      <x:c r="D831" s="2" t="n">
        <x:v>1</x:v>
      </x:c>
      <x:c r="E831" s="10" t="n">
        <x:v>5000</x:v>
      </x:c>
      <x:c r="F831" s="10" t="n">
        <x:v>5000</x:v>
      </x:c>
      <x:c r="G831" s="8" t="n">
        <x:f>INDEX('Órdenes'!$B$7:$B$334,MATCH(A831,'Órdenes'!$A$7:$A$334,0))</x:f>
        <x:v>46243</x:v>
      </x:c>
      <x:c r="H831" s="11" t="n">
        <x:f>DATE(YEAR(G831),MONTH(G831),1)</x:f>
        <x:v>46235</x:v>
      </x:c>
    </x:row>
    <x:row r="832" ht="23" customHeight="1">
      <x:c r="A832" s="2" t="str">
        <x:v>SIM-202608-015</x:v>
      </x:c>
      <x:c r="B832" s="2" t="str">
        <x:v>Hamburguesa especial</x:v>
      </x:c>
      <x:c r="C832" s="2" t="str"/>
      <x:c r="D832" s="2" t="n">
        <x:v>1</x:v>
      </x:c>
      <x:c r="E832" s="10" t="n">
        <x:v>20000</x:v>
      </x:c>
      <x:c r="F832" s="10" t="n">
        <x:v>20000</x:v>
      </x:c>
      <x:c r="G832" s="8" t="n">
        <x:f>INDEX('Órdenes'!$B$7:$B$334,MATCH(A832,'Órdenes'!$A$7:$A$334,0))</x:f>
        <x:v>46243</x:v>
      </x:c>
      <x:c r="H832" s="11" t="n">
        <x:f>DATE(YEAR(G832),MONTH(G832),1)</x:f>
        <x:v>46235</x:v>
      </x:c>
    </x:row>
    <x:row r="833" ht="23" customHeight="1">
      <x:c r="A833" s="2" t="str">
        <x:v>SIM-202608-015</x:v>
      </x:c>
      <x:c r="B833" s="2" t="str">
        <x:v>Salchipapas</x:v>
      </x:c>
      <x:c r="C833" s="2" t="str"/>
      <x:c r="D833" s="2" t="n">
        <x:v>1</x:v>
      </x:c>
      <x:c r="E833" s="10" t="n">
        <x:v>12000</x:v>
      </x:c>
      <x:c r="F833" s="10" t="n">
        <x:v>12000</x:v>
      </x:c>
      <x:c r="G833" s="8" t="n">
        <x:f>INDEX('Órdenes'!$B$7:$B$334,MATCH(A833,'Órdenes'!$A$7:$A$334,0))</x:f>
        <x:v>46243</x:v>
      </x:c>
      <x:c r="H833" s="11" t="n">
        <x:f>DATE(YEAR(G833),MONTH(G833),1)</x:f>
        <x:v>46235</x:v>
      </x:c>
    </x:row>
    <x:row r="834" ht="23" customHeight="1">
      <x:c r="A834" s="2" t="str">
        <x:v>SIM-202608-015</x:v>
      </x:c>
      <x:c r="B834" s="2" t="str">
        <x:v>Gaseosas</x:v>
      </x:c>
      <x:c r="C834" s="2" t="str">
        <x:v>Coca-Cola</x:v>
      </x:c>
      <x:c r="D834" s="2" t="n">
        <x:v>1</x:v>
      </x:c>
      <x:c r="E834" s="10" t="n">
        <x:v>5000</x:v>
      </x:c>
      <x:c r="F834" s="10" t="n">
        <x:v>5000</x:v>
      </x:c>
      <x:c r="G834" s="8" t="n">
        <x:f>INDEX('Órdenes'!$B$7:$B$334,MATCH(A834,'Órdenes'!$A$7:$A$334,0))</x:f>
        <x:v>46243</x:v>
      </x:c>
      <x:c r="H834" s="11" t="n">
        <x:f>DATE(YEAR(G834),MONTH(G834),1)</x:f>
        <x:v>46235</x:v>
      </x:c>
    </x:row>
    <x:row r="835" ht="23" customHeight="1">
      <x:c r="A835" s="2" t="str">
        <x:v>SIM-202608-015</x:v>
      </x:c>
      <x:c r="B835" s="2" t="str">
        <x:v>Gaseosas</x:v>
      </x:c>
      <x:c r="C835" s="2" t="str">
        <x:v>Manzana</x:v>
      </x:c>
      <x:c r="D835" s="2" t="n">
        <x:v>1</x:v>
      </x:c>
      <x:c r="E835" s="10" t="n">
        <x:v>5000</x:v>
      </x:c>
      <x:c r="F835" s="10" t="n">
        <x:v>5000</x:v>
      </x:c>
      <x:c r="G835" s="8" t="n">
        <x:f>INDEX('Órdenes'!$B$7:$B$334,MATCH(A835,'Órdenes'!$A$7:$A$334,0))</x:f>
        <x:v>46243</x:v>
      </x:c>
      <x:c r="H835" s="11" t="n">
        <x:f>DATE(YEAR(G835),MONTH(G835),1)</x:f>
        <x:v>46235</x:v>
      </x:c>
    </x:row>
    <x:row r="836" ht="23" customHeight="1">
      <x:c r="A836" s="2" t="str">
        <x:v>SIM-202608-016</x:v>
      </x:c>
      <x:c r="B836" s="2" t="str">
        <x:v>Perro caliente</x:v>
      </x:c>
      <x:c r="C836" s="2" t="str"/>
      <x:c r="D836" s="2" t="n">
        <x:v>1</x:v>
      </x:c>
      <x:c r="E836" s="10" t="n">
        <x:v>13000</x:v>
      </x:c>
      <x:c r="F836" s="10" t="n">
        <x:v>13000</x:v>
      </x:c>
      <x:c r="G836" s="8" t="n">
        <x:f>INDEX('Órdenes'!$B$7:$B$334,MATCH(A836,'Órdenes'!$A$7:$A$334,0))</x:f>
        <x:v>46245</x:v>
      </x:c>
      <x:c r="H836" s="11" t="n">
        <x:f>DATE(YEAR(G836),MONTH(G836),1)</x:f>
        <x:v>46235</x:v>
      </x:c>
    </x:row>
    <x:row r="837" ht="23" customHeight="1">
      <x:c r="A837" s="2" t="str">
        <x:v>SIM-202608-016</x:v>
      </x:c>
      <x:c r="B837" s="2" t="str">
        <x:v>Gaseosas</x:v>
      </x:c>
      <x:c r="C837" s="2" t="str">
        <x:v>Coca-Cola</x:v>
      </x:c>
      <x:c r="D837" s="2" t="n">
        <x:v>1</x:v>
      </x:c>
      <x:c r="E837" s="10" t="n">
        <x:v>5000</x:v>
      </x:c>
      <x:c r="F837" s="10" t="n">
        <x:v>5000</x:v>
      </x:c>
      <x:c r="G837" s="8" t="n">
        <x:f>INDEX('Órdenes'!$B$7:$B$334,MATCH(A837,'Órdenes'!$A$7:$A$334,0))</x:f>
        <x:v>46245</x:v>
      </x:c>
      <x:c r="H837" s="11" t="n">
        <x:f>DATE(YEAR(G837),MONTH(G837),1)</x:f>
        <x:v>46235</x:v>
      </x:c>
    </x:row>
    <x:row r="838" ht="23" customHeight="1">
      <x:c r="A838" s="2" t="str">
        <x:v>SIM-202608-017</x:v>
      </x:c>
      <x:c r="B838" s="2" t="str">
        <x:v>Hamburguesa Clásica</x:v>
      </x:c>
      <x:c r="C838" s="2" t="str"/>
      <x:c r="D838" s="2" t="n">
        <x:v>1</x:v>
      </x:c>
      <x:c r="E838" s="10" t="n">
        <x:v>15000</x:v>
      </x:c>
      <x:c r="F838" s="10" t="n">
        <x:v>15000</x:v>
      </x:c>
      <x:c r="G838" s="8" t="n">
        <x:f>INDEX('Órdenes'!$B$7:$B$334,MATCH(A838,'Órdenes'!$A$7:$A$334,0))</x:f>
        <x:v>46247</x:v>
      </x:c>
      <x:c r="H838" s="11" t="n">
        <x:f>DATE(YEAR(G838),MONTH(G838),1)</x:f>
        <x:v>46235</x:v>
      </x:c>
    </x:row>
    <x:row r="839" ht="23" customHeight="1">
      <x:c r="A839" s="2" t="str">
        <x:v>SIM-202608-017</x:v>
      </x:c>
      <x:c r="B839" s="2" t="str">
        <x:v>Gaseosas</x:v>
      </x:c>
      <x:c r="C839" s="2" t="str">
        <x:v>Coca-Cola</x:v>
      </x:c>
      <x:c r="D839" s="2" t="n">
        <x:v>1</x:v>
      </x:c>
      <x:c r="E839" s="10" t="n">
        <x:v>5000</x:v>
      </x:c>
      <x:c r="F839" s="10" t="n">
        <x:v>5000</x:v>
      </x:c>
      <x:c r="G839" s="8" t="n">
        <x:f>INDEX('Órdenes'!$B$7:$B$334,MATCH(A839,'Órdenes'!$A$7:$A$334,0))</x:f>
        <x:v>46247</x:v>
      </x:c>
      <x:c r="H839" s="11" t="n">
        <x:f>DATE(YEAR(G839),MONTH(G839),1)</x:f>
        <x:v>46235</x:v>
      </x:c>
    </x:row>
    <x:row r="840" ht="23" customHeight="1">
      <x:c r="A840" s="2" t="str">
        <x:v>SIM-202608-018</x:v>
      </x:c>
      <x:c r="B840" s="2" t="str">
        <x:v>Hamburguesa Clásica</x:v>
      </x:c>
      <x:c r="C840" s="2" t="str"/>
      <x:c r="D840" s="2" t="n">
        <x:v>1</x:v>
      </x:c>
      <x:c r="E840" s="10" t="n">
        <x:v>15000</x:v>
      </x:c>
      <x:c r="F840" s="10" t="n">
        <x:v>15000</x:v>
      </x:c>
      <x:c r="G840" s="8" t="n">
        <x:f>INDEX('Órdenes'!$B$7:$B$334,MATCH(A840,'Órdenes'!$A$7:$A$334,0))</x:f>
        <x:v>46248</x:v>
      </x:c>
      <x:c r="H840" s="11" t="n">
        <x:f>DATE(YEAR(G840),MONTH(G840),1)</x:f>
        <x:v>46235</x:v>
      </x:c>
    </x:row>
    <x:row r="841" ht="23" customHeight="1">
      <x:c r="A841" s="2" t="str">
        <x:v>SIM-202608-018</x:v>
      </x:c>
      <x:c r="B841" s="2" t="str">
        <x:v>Salchipapas</x:v>
      </x:c>
      <x:c r="C841" s="2" t="str"/>
      <x:c r="D841" s="2" t="n">
        <x:v>2</x:v>
      </x:c>
      <x:c r="E841" s="10" t="n">
        <x:v>12000</x:v>
      </x:c>
      <x:c r="F841" s="10" t="n">
        <x:v>24000</x:v>
      </x:c>
      <x:c r="G841" s="8" t="n">
        <x:f>INDEX('Órdenes'!$B$7:$B$334,MATCH(A841,'Órdenes'!$A$7:$A$334,0))</x:f>
        <x:v>46248</x:v>
      </x:c>
      <x:c r="H841" s="11" t="n">
        <x:f>DATE(YEAR(G841),MONTH(G841),1)</x:f>
        <x:v>46235</x:v>
      </x:c>
    </x:row>
    <x:row r="842" ht="23" customHeight="1">
      <x:c r="A842" s="2" t="str">
        <x:v>SIM-202608-018</x:v>
      </x:c>
      <x:c r="B842" s="2" t="str">
        <x:v>Gaseosas</x:v>
      </x:c>
      <x:c r="C842" s="2" t="str">
        <x:v>Coca-Cola</x:v>
      </x:c>
      <x:c r="D842" s="2" t="n">
        <x:v>1</x:v>
      </x:c>
      <x:c r="E842" s="10" t="n">
        <x:v>5000</x:v>
      </x:c>
      <x:c r="F842" s="10" t="n">
        <x:v>5000</x:v>
      </x:c>
      <x:c r="G842" s="8" t="n">
        <x:f>INDEX('Órdenes'!$B$7:$B$334,MATCH(A842,'Órdenes'!$A$7:$A$334,0))</x:f>
        <x:v>46248</x:v>
      </x:c>
      <x:c r="H842" s="11" t="n">
        <x:f>DATE(YEAR(G842),MONTH(G842),1)</x:f>
        <x:v>46235</x:v>
      </x:c>
    </x:row>
    <x:row r="843" ht="23" customHeight="1">
      <x:c r="A843" s="2" t="str">
        <x:v>SIM-202608-019</x:v>
      </x:c>
      <x:c r="B843" s="2" t="str">
        <x:v>Hamburguesa Clásica</x:v>
      </x:c>
      <x:c r="C843" s="2" t="str"/>
      <x:c r="D843" s="2" t="n">
        <x:v>1</x:v>
      </x:c>
      <x:c r="E843" s="10" t="n">
        <x:v>15000</x:v>
      </x:c>
      <x:c r="F843" s="10" t="n">
        <x:v>15000</x:v>
      </x:c>
      <x:c r="G843" s="8" t="n">
        <x:f>INDEX('Órdenes'!$B$7:$B$334,MATCH(A843,'Órdenes'!$A$7:$A$334,0))</x:f>
        <x:v>46248</x:v>
      </x:c>
      <x:c r="H843" s="11" t="n">
        <x:f>DATE(YEAR(G843),MONTH(G843),1)</x:f>
        <x:v>46235</x:v>
      </x:c>
    </x:row>
    <x:row r="844" ht="23" customHeight="1">
      <x:c r="A844" s="2" t="str">
        <x:v>SIM-202608-019</x:v>
      </x:c>
      <x:c r="B844" s="2" t="str">
        <x:v>Gaseosas</x:v>
      </x:c>
      <x:c r="C844" s="2" t="str">
        <x:v>Coca-Cola</x:v>
      </x:c>
      <x:c r="D844" s="2" t="n">
        <x:v>1</x:v>
      </x:c>
      <x:c r="E844" s="10" t="n">
        <x:v>5000</x:v>
      </x:c>
      <x:c r="F844" s="10" t="n">
        <x:v>5000</x:v>
      </x:c>
      <x:c r="G844" s="8" t="n">
        <x:f>INDEX('Órdenes'!$B$7:$B$334,MATCH(A844,'Órdenes'!$A$7:$A$334,0))</x:f>
        <x:v>46248</x:v>
      </x:c>
      <x:c r="H844" s="11" t="n">
        <x:f>DATE(YEAR(G844),MONTH(G844),1)</x:f>
        <x:v>46235</x:v>
      </x:c>
    </x:row>
    <x:row r="845" ht="23" customHeight="1">
      <x:c r="A845" s="2" t="str">
        <x:v>SIM-202608-020</x:v>
      </x:c>
      <x:c r="B845" s="2" t="str">
        <x:v>Hamburguesa especial</x:v>
      </x:c>
      <x:c r="C845" s="2" t="str"/>
      <x:c r="D845" s="2" t="n">
        <x:v>2</x:v>
      </x:c>
      <x:c r="E845" s="10" t="n">
        <x:v>20000</x:v>
      </x:c>
      <x:c r="F845" s="10" t="n">
        <x:v>40000</x:v>
      </x:c>
      <x:c r="G845" s="8" t="n">
        <x:f>INDEX('Órdenes'!$B$7:$B$334,MATCH(A845,'Órdenes'!$A$7:$A$334,0))</x:f>
        <x:v>46249</x:v>
      </x:c>
      <x:c r="H845" s="11" t="n">
        <x:f>DATE(YEAR(G845),MONTH(G845),1)</x:f>
        <x:v>46235</x:v>
      </x:c>
    </x:row>
    <x:row r="846" ht="23" customHeight="1">
      <x:c r="A846" s="2" t="str">
        <x:v>SIM-202608-020</x:v>
      </x:c>
      <x:c r="B846" s="2" t="str">
        <x:v>Salchipapas</x:v>
      </x:c>
      <x:c r="C846" s="2" t="str"/>
      <x:c r="D846" s="2" t="n">
        <x:v>1</x:v>
      </x:c>
      <x:c r="E846" s="10" t="n">
        <x:v>12000</x:v>
      </x:c>
      <x:c r="F846" s="10" t="n">
        <x:v>12000</x:v>
      </x:c>
      <x:c r="G846" s="8" t="n">
        <x:f>INDEX('Órdenes'!$B$7:$B$334,MATCH(A846,'Órdenes'!$A$7:$A$334,0))</x:f>
        <x:v>46249</x:v>
      </x:c>
      <x:c r="H846" s="11" t="n">
        <x:f>DATE(YEAR(G846),MONTH(G846),1)</x:f>
        <x:v>46235</x:v>
      </x:c>
    </x:row>
    <x:row r="847" ht="23" customHeight="1">
      <x:c r="A847" s="2" t="str">
        <x:v>SIM-202608-020</x:v>
      </x:c>
      <x:c r="B847" s="2" t="str">
        <x:v>Gaseosas</x:v>
      </x:c>
      <x:c r="C847" s="2" t="str">
        <x:v>Coca-Cola</x:v>
      </x:c>
      <x:c r="D847" s="2" t="n">
        <x:v>1</x:v>
      </x:c>
      <x:c r="E847" s="10" t="n">
        <x:v>5000</x:v>
      </x:c>
      <x:c r="F847" s="10" t="n">
        <x:v>5000</x:v>
      </x:c>
      <x:c r="G847" s="8" t="n">
        <x:f>INDEX('Órdenes'!$B$7:$B$334,MATCH(A847,'Órdenes'!$A$7:$A$334,0))</x:f>
        <x:v>46249</x:v>
      </x:c>
      <x:c r="H847" s="11" t="n">
        <x:f>DATE(YEAR(G847),MONTH(G847),1)</x:f>
        <x:v>46235</x:v>
      </x:c>
    </x:row>
    <x:row r="848" ht="23" customHeight="1">
      <x:c r="A848" s="2" t="str">
        <x:v>SIM-202608-021</x:v>
      </x:c>
      <x:c r="B848" s="2" t="str">
        <x:v>Hamburguesa especial</x:v>
      </x:c>
      <x:c r="C848" s="2" t="str"/>
      <x:c r="D848" s="2" t="n">
        <x:v>1</x:v>
      </x:c>
      <x:c r="E848" s="10" t="n">
        <x:v>20000</x:v>
      </x:c>
      <x:c r="F848" s="10" t="n">
        <x:v>20000</x:v>
      </x:c>
      <x:c r="G848" s="8" t="n">
        <x:f>INDEX('Órdenes'!$B$7:$B$334,MATCH(A848,'Órdenes'!$A$7:$A$334,0))</x:f>
        <x:v>46249</x:v>
      </x:c>
      <x:c r="H848" s="11" t="n">
        <x:f>DATE(YEAR(G848),MONTH(G848),1)</x:f>
        <x:v>46235</x:v>
      </x:c>
    </x:row>
    <x:row r="849" ht="23" customHeight="1">
      <x:c r="A849" s="2" t="str">
        <x:v>SIM-202608-021</x:v>
      </x:c>
      <x:c r="B849" s="2" t="str">
        <x:v>Perro caliente</x:v>
      </x:c>
      <x:c r="C849" s="2" t="str"/>
      <x:c r="D849" s="2" t="n">
        <x:v>1</x:v>
      </x:c>
      <x:c r="E849" s="10" t="n">
        <x:v>13000</x:v>
      </x:c>
      <x:c r="F849" s="10" t="n">
        <x:v>13000</x:v>
      </x:c>
      <x:c r="G849" s="8" t="n">
        <x:f>INDEX('Órdenes'!$B$7:$B$334,MATCH(A849,'Órdenes'!$A$7:$A$334,0))</x:f>
        <x:v>46249</x:v>
      </x:c>
      <x:c r="H849" s="11" t="n">
        <x:f>DATE(YEAR(G849),MONTH(G849),1)</x:f>
        <x:v>46235</x:v>
      </x:c>
    </x:row>
    <x:row r="850" ht="23" customHeight="1">
      <x:c r="A850" s="2" t="str">
        <x:v>SIM-202608-021</x:v>
      </x:c>
      <x:c r="B850" s="2" t="str">
        <x:v>Gaseosas</x:v>
      </x:c>
      <x:c r="C850" s="2" t="str">
        <x:v>Coca-Cola</x:v>
      </x:c>
      <x:c r="D850" s="2" t="n">
        <x:v>1</x:v>
      </x:c>
      <x:c r="E850" s="10" t="n">
        <x:v>5000</x:v>
      </x:c>
      <x:c r="F850" s="10" t="n">
        <x:v>5000</x:v>
      </x:c>
      <x:c r="G850" s="8" t="n">
        <x:f>INDEX('Órdenes'!$B$7:$B$334,MATCH(A850,'Órdenes'!$A$7:$A$334,0))</x:f>
        <x:v>46249</x:v>
      </x:c>
      <x:c r="H850" s="11" t="n">
        <x:f>DATE(YEAR(G850),MONTH(G850),1)</x:f>
        <x:v>46235</x:v>
      </x:c>
    </x:row>
    <x:row r="851" ht="23" customHeight="1">
      <x:c r="A851" s="2" t="str">
        <x:v>SIM-202608-021</x:v>
      </x:c>
      <x:c r="B851" s="2" t="str">
        <x:v>Gaseosas</x:v>
      </x:c>
      <x:c r="C851" s="2" t="str">
        <x:v>Sprite</x:v>
      </x:c>
      <x:c r="D851" s="2" t="n">
        <x:v>1</x:v>
      </x:c>
      <x:c r="E851" s="10" t="n">
        <x:v>5000</x:v>
      </x:c>
      <x:c r="F851" s="10" t="n">
        <x:v>5000</x:v>
      </x:c>
      <x:c r="G851" s="8" t="n">
        <x:f>INDEX('Órdenes'!$B$7:$B$334,MATCH(A851,'Órdenes'!$A$7:$A$334,0))</x:f>
        <x:v>46249</x:v>
      </x:c>
      <x:c r="H851" s="11" t="n">
        <x:f>DATE(YEAR(G851),MONTH(G851),1)</x:f>
        <x:v>46235</x:v>
      </x:c>
    </x:row>
    <x:row r="852" ht="23" customHeight="1">
      <x:c r="A852" s="2" t="str">
        <x:v>SIM-202608-022</x:v>
      </x:c>
      <x:c r="B852" s="2" t="str">
        <x:v>Hamburguesa Clásica</x:v>
      </x:c>
      <x:c r="C852" s="2" t="str"/>
      <x:c r="D852" s="2" t="n">
        <x:v>1</x:v>
      </x:c>
      <x:c r="E852" s="10" t="n">
        <x:v>15000</x:v>
      </x:c>
      <x:c r="F852" s="10" t="n">
        <x:v>15000</x:v>
      </x:c>
      <x:c r="G852" s="8" t="n">
        <x:f>INDEX('Órdenes'!$B$7:$B$334,MATCH(A852,'Órdenes'!$A$7:$A$334,0))</x:f>
        <x:v>46249</x:v>
      </x:c>
      <x:c r="H852" s="11" t="n">
        <x:f>DATE(YEAR(G852),MONTH(G852),1)</x:f>
        <x:v>46235</x:v>
      </x:c>
    </x:row>
    <x:row r="853" ht="23" customHeight="1">
      <x:c r="A853" s="2" t="str">
        <x:v>SIM-202608-022</x:v>
      </x:c>
      <x:c r="B853" s="2" t="str">
        <x:v>Gaseosas</x:v>
      </x:c>
      <x:c r="C853" s="2" t="str">
        <x:v>Coca-Cola</x:v>
      </x:c>
      <x:c r="D853" s="2" t="n">
        <x:v>1</x:v>
      </x:c>
      <x:c r="E853" s="10" t="n">
        <x:v>5000</x:v>
      </x:c>
      <x:c r="F853" s="10" t="n">
        <x:v>5000</x:v>
      </x:c>
      <x:c r="G853" s="8" t="n">
        <x:f>INDEX('Órdenes'!$B$7:$B$334,MATCH(A853,'Órdenes'!$A$7:$A$334,0))</x:f>
        <x:v>46249</x:v>
      </x:c>
      <x:c r="H853" s="11" t="n">
        <x:f>DATE(YEAR(G853),MONTH(G853),1)</x:f>
        <x:v>46235</x:v>
      </x:c>
    </x:row>
    <x:row r="854" ht="23" customHeight="1">
      <x:c r="A854" s="2" t="str">
        <x:v>SIM-202608-023</x:v>
      </x:c>
      <x:c r="B854" s="2" t="str">
        <x:v>Hamburguesa Clásica</x:v>
      </x:c>
      <x:c r="C854" s="2" t="str"/>
      <x:c r="D854" s="2" t="n">
        <x:v>1</x:v>
      </x:c>
      <x:c r="E854" s="10" t="n">
        <x:v>15000</x:v>
      </x:c>
      <x:c r="F854" s="10" t="n">
        <x:v>15000</x:v>
      </x:c>
      <x:c r="G854" s="8" t="n">
        <x:f>INDEX('Órdenes'!$B$7:$B$334,MATCH(A854,'Órdenes'!$A$7:$A$334,0))</x:f>
        <x:v>46249</x:v>
      </x:c>
      <x:c r="H854" s="11" t="n">
        <x:f>DATE(YEAR(G854),MONTH(G854),1)</x:f>
        <x:v>46235</x:v>
      </x:c>
    </x:row>
    <x:row r="855" ht="23" customHeight="1">
      <x:c r="A855" s="2" t="str">
        <x:v>SIM-202608-023</x:v>
      </x:c>
      <x:c r="B855" s="2" t="str">
        <x:v>Hamburguesa especial</x:v>
      </x:c>
      <x:c r="C855" s="2" t="str"/>
      <x:c r="D855" s="2" t="n">
        <x:v>1</x:v>
      </x:c>
      <x:c r="E855" s="10" t="n">
        <x:v>20000</x:v>
      </x:c>
      <x:c r="F855" s="10" t="n">
        <x:v>20000</x:v>
      </x:c>
      <x:c r="G855" s="8" t="n">
        <x:f>INDEX('Órdenes'!$B$7:$B$334,MATCH(A855,'Órdenes'!$A$7:$A$334,0))</x:f>
        <x:v>46249</x:v>
      </x:c>
      <x:c r="H855" s="11" t="n">
        <x:f>DATE(YEAR(G855),MONTH(G855),1)</x:f>
        <x:v>46235</x:v>
      </x:c>
    </x:row>
    <x:row r="856" ht="23" customHeight="1">
      <x:c r="A856" s="2" t="str">
        <x:v>SIM-202608-023</x:v>
      </x:c>
      <x:c r="B856" s="2" t="str">
        <x:v>Perro caliente</x:v>
      </x:c>
      <x:c r="C856" s="2" t="str"/>
      <x:c r="D856" s="2" t="n">
        <x:v>1</x:v>
      </x:c>
      <x:c r="E856" s="10" t="n">
        <x:v>13000</x:v>
      </x:c>
      <x:c r="F856" s="10" t="n">
        <x:v>13000</x:v>
      </x:c>
      <x:c r="G856" s="8" t="n">
        <x:f>INDEX('Órdenes'!$B$7:$B$334,MATCH(A856,'Órdenes'!$A$7:$A$334,0))</x:f>
        <x:v>46249</x:v>
      </x:c>
      <x:c r="H856" s="11" t="n">
        <x:f>DATE(YEAR(G856),MONTH(G856),1)</x:f>
        <x:v>46235</x:v>
      </x:c>
    </x:row>
    <x:row r="857" ht="23" customHeight="1">
      <x:c r="A857" s="2" t="str">
        <x:v>SIM-202608-023</x:v>
      </x:c>
      <x:c r="B857" s="2" t="str">
        <x:v>Gaseosas</x:v>
      </x:c>
      <x:c r="C857" s="2" t="str">
        <x:v>Coca-Cola</x:v>
      </x:c>
      <x:c r="D857" s="2" t="n">
        <x:v>3</x:v>
      </x:c>
      <x:c r="E857" s="10" t="n">
        <x:v>5000</x:v>
      </x:c>
      <x:c r="F857" s="10" t="n">
        <x:v>15000</x:v>
      </x:c>
      <x:c r="G857" s="8" t="n">
        <x:f>INDEX('Órdenes'!$B$7:$B$334,MATCH(A857,'Órdenes'!$A$7:$A$334,0))</x:f>
        <x:v>46249</x:v>
      </x:c>
      <x:c r="H857" s="11" t="n">
        <x:f>DATE(YEAR(G857),MONTH(G857),1)</x:f>
        <x:v>46235</x:v>
      </x:c>
    </x:row>
    <x:row r="858" ht="23" customHeight="1">
      <x:c r="A858" s="2" t="str">
        <x:v>SIM-202608-024</x:v>
      </x:c>
      <x:c r="B858" s="2" t="str">
        <x:v>Hamburguesa Clásica</x:v>
      </x:c>
      <x:c r="C858" s="2" t="str"/>
      <x:c r="D858" s="2" t="n">
        <x:v>3</x:v>
      </x:c>
      <x:c r="E858" s="10" t="n">
        <x:v>15000</x:v>
      </x:c>
      <x:c r="F858" s="10" t="n">
        <x:v>45000</x:v>
      </x:c>
      <x:c r="G858" s="8" t="n">
        <x:f>INDEX('Órdenes'!$B$7:$B$334,MATCH(A858,'Órdenes'!$A$7:$A$334,0))</x:f>
        <x:v>46250</x:v>
      </x:c>
      <x:c r="H858" s="11" t="n">
        <x:f>DATE(YEAR(G858),MONTH(G858),1)</x:f>
        <x:v>46235</x:v>
      </x:c>
    </x:row>
    <x:row r="859" ht="23" customHeight="1">
      <x:c r="A859" s="2" t="str">
        <x:v>SIM-202608-024</x:v>
      </x:c>
      <x:c r="B859" s="2" t="str">
        <x:v>Gaseosas</x:v>
      </x:c>
      <x:c r="C859" s="2" t="str">
        <x:v>Manzana</x:v>
      </x:c>
      <x:c r="D859" s="2" t="n">
        <x:v>1</x:v>
      </x:c>
      <x:c r="E859" s="10" t="n">
        <x:v>5000</x:v>
      </x:c>
      <x:c r="F859" s="10" t="n">
        <x:v>5000</x:v>
      </x:c>
      <x:c r="G859" s="8" t="n">
        <x:f>INDEX('Órdenes'!$B$7:$B$334,MATCH(A859,'Órdenes'!$A$7:$A$334,0))</x:f>
        <x:v>46250</x:v>
      </x:c>
      <x:c r="H859" s="11" t="n">
        <x:f>DATE(YEAR(G859),MONTH(G859),1)</x:f>
        <x:v>46235</x:v>
      </x:c>
    </x:row>
    <x:row r="860" ht="23" customHeight="1">
      <x:c r="A860" s="2" t="str">
        <x:v>SIM-202608-024</x:v>
      </x:c>
      <x:c r="B860" s="2" t="str">
        <x:v>Gaseosas</x:v>
      </x:c>
      <x:c r="C860" s="2" t="str">
        <x:v>Sprite</x:v>
      </x:c>
      <x:c r="D860" s="2" t="n">
        <x:v>2</x:v>
      </x:c>
      <x:c r="E860" s="10" t="n">
        <x:v>5000</x:v>
      </x:c>
      <x:c r="F860" s="10" t="n">
        <x:v>10000</x:v>
      </x:c>
      <x:c r="G860" s="8" t="n">
        <x:f>INDEX('Órdenes'!$B$7:$B$334,MATCH(A860,'Órdenes'!$A$7:$A$334,0))</x:f>
        <x:v>46250</x:v>
      </x:c>
      <x:c r="H860" s="11" t="n">
        <x:f>DATE(YEAR(G860),MONTH(G860),1)</x:f>
        <x:v>46235</x:v>
      </x:c>
    </x:row>
    <x:row r="861" ht="23" customHeight="1">
      <x:c r="A861" s="2" t="str">
        <x:v>SIM-202608-025</x:v>
      </x:c>
      <x:c r="B861" s="2" t="str">
        <x:v>Hamburguesa Clásica</x:v>
      </x:c>
      <x:c r="C861" s="2" t="str"/>
      <x:c r="D861" s="2" t="n">
        <x:v>2</x:v>
      </x:c>
      <x:c r="E861" s="10" t="n">
        <x:v>15000</x:v>
      </x:c>
      <x:c r="F861" s="10" t="n">
        <x:v>30000</x:v>
      </x:c>
      <x:c r="G861" s="8" t="n">
        <x:f>INDEX('Órdenes'!$B$7:$B$334,MATCH(A861,'Órdenes'!$A$7:$A$334,0))</x:f>
        <x:v>46250</x:v>
      </x:c>
      <x:c r="H861" s="11" t="n">
        <x:f>DATE(YEAR(G861),MONTH(G861),1)</x:f>
        <x:v>46235</x:v>
      </x:c>
    </x:row>
    <x:row r="862" ht="23" customHeight="1">
      <x:c r="A862" s="2" t="str">
        <x:v>SIM-202608-025</x:v>
      </x:c>
      <x:c r="B862" s="2" t="str">
        <x:v>Gaseosas</x:v>
      </x:c>
      <x:c r="C862" s="2" t="str">
        <x:v>Manzana</x:v>
      </x:c>
      <x:c r="D862" s="2" t="n">
        <x:v>1</x:v>
      </x:c>
      <x:c r="E862" s="10" t="n">
        <x:v>5000</x:v>
      </x:c>
      <x:c r="F862" s="10" t="n">
        <x:v>5000</x:v>
      </x:c>
      <x:c r="G862" s="8" t="n">
        <x:f>INDEX('Órdenes'!$B$7:$B$334,MATCH(A862,'Órdenes'!$A$7:$A$334,0))</x:f>
        <x:v>46250</x:v>
      </x:c>
      <x:c r="H862" s="11" t="n">
        <x:f>DATE(YEAR(G862),MONTH(G862),1)</x:f>
        <x:v>46235</x:v>
      </x:c>
    </x:row>
    <x:row r="863" ht="23" customHeight="1">
      <x:c r="A863" s="2" t="str">
        <x:v>SIM-202608-025</x:v>
      </x:c>
      <x:c r="B863" s="2" t="str">
        <x:v>Gaseosas</x:v>
      </x:c>
      <x:c r="C863" s="2" t="str">
        <x:v>Sprite</x:v>
      </x:c>
      <x:c r="D863" s="2" t="n">
        <x:v>1</x:v>
      </x:c>
      <x:c r="E863" s="10" t="n">
        <x:v>5000</x:v>
      </x:c>
      <x:c r="F863" s="10" t="n">
        <x:v>5000</x:v>
      </x:c>
      <x:c r="G863" s="8" t="n">
        <x:f>INDEX('Órdenes'!$B$7:$B$334,MATCH(A863,'Órdenes'!$A$7:$A$334,0))</x:f>
        <x:v>46250</x:v>
      </x:c>
      <x:c r="H863" s="11" t="n">
        <x:f>DATE(YEAR(G863),MONTH(G863),1)</x:f>
        <x:v>46235</x:v>
      </x:c>
    </x:row>
    <x:row r="864" ht="23" customHeight="1">
      <x:c r="A864" s="2" t="str">
        <x:v>SIM-202608-026</x:v>
      </x:c>
      <x:c r="B864" s="2" t="str">
        <x:v>Hamburguesa Clásica</x:v>
      </x:c>
      <x:c r="C864" s="2" t="str"/>
      <x:c r="D864" s="2" t="n">
        <x:v>4</x:v>
      </x:c>
      <x:c r="E864" s="10" t="n">
        <x:v>15000</x:v>
      </x:c>
      <x:c r="F864" s="10" t="n">
        <x:v>60000</x:v>
      </x:c>
      <x:c r="G864" s="8" t="n">
        <x:f>INDEX('Órdenes'!$B$7:$B$334,MATCH(A864,'Órdenes'!$A$7:$A$334,0))</x:f>
        <x:v>46250</x:v>
      </x:c>
      <x:c r="H864" s="11" t="n">
        <x:f>DATE(YEAR(G864),MONTH(G864),1)</x:f>
        <x:v>46235</x:v>
      </x:c>
    </x:row>
    <x:row r="865" ht="23" customHeight="1">
      <x:c r="A865" s="2" t="str">
        <x:v>SIM-202608-026</x:v>
      </x:c>
      <x:c r="B865" s="2" t="str">
        <x:v>Gaseosas</x:v>
      </x:c>
      <x:c r="C865" s="2" t="str">
        <x:v>Coca-Cola</x:v>
      </x:c>
      <x:c r="D865" s="2" t="n">
        <x:v>2</x:v>
      </x:c>
      <x:c r="E865" s="10" t="n">
        <x:v>5000</x:v>
      </x:c>
      <x:c r="F865" s="10" t="n">
        <x:v>10000</x:v>
      </x:c>
      <x:c r="G865" s="8" t="n">
        <x:f>INDEX('Órdenes'!$B$7:$B$334,MATCH(A865,'Órdenes'!$A$7:$A$334,0))</x:f>
        <x:v>46250</x:v>
      </x:c>
      <x:c r="H865" s="11" t="n">
        <x:f>DATE(YEAR(G865),MONTH(G865),1)</x:f>
        <x:v>46235</x:v>
      </x:c>
    </x:row>
    <x:row r="866" ht="23" customHeight="1">
      <x:c r="A866" s="2" t="str">
        <x:v>SIM-202608-026</x:v>
      </x:c>
      <x:c r="B866" s="2" t="str">
        <x:v>Gaseosas</x:v>
      </x:c>
      <x:c r="C866" s="2" t="str">
        <x:v>Manzana</x:v>
      </x:c>
      <x:c r="D866" s="2" t="n">
        <x:v>1</x:v>
      </x:c>
      <x:c r="E866" s="10" t="n">
        <x:v>5000</x:v>
      </x:c>
      <x:c r="F866" s="10" t="n">
        <x:v>5000</x:v>
      </x:c>
      <x:c r="G866" s="8" t="n">
        <x:f>INDEX('Órdenes'!$B$7:$B$334,MATCH(A866,'Órdenes'!$A$7:$A$334,0))</x:f>
        <x:v>46250</x:v>
      </x:c>
      <x:c r="H866" s="11" t="n">
        <x:f>DATE(YEAR(G866),MONTH(G866),1)</x:f>
        <x:v>46235</x:v>
      </x:c>
    </x:row>
    <x:row r="867" ht="23" customHeight="1">
      <x:c r="A867" s="2" t="str">
        <x:v>SIM-202608-027</x:v>
      </x:c>
      <x:c r="B867" s="2" t="str">
        <x:v>Hamburguesa Clásica</x:v>
      </x:c>
      <x:c r="C867" s="2" t="str"/>
      <x:c r="D867" s="2" t="n">
        <x:v>1</x:v>
      </x:c>
      <x:c r="E867" s="10" t="n">
        <x:v>15000</x:v>
      </x:c>
      <x:c r="F867" s="10" t="n">
        <x:v>15000</x:v>
      </x:c>
      <x:c r="G867" s="8" t="n">
        <x:f>INDEX('Órdenes'!$B$7:$B$334,MATCH(A867,'Órdenes'!$A$7:$A$334,0))</x:f>
        <x:v>46250</x:v>
      </x:c>
      <x:c r="H867" s="11" t="n">
        <x:f>DATE(YEAR(G867),MONTH(G867),1)</x:f>
        <x:v>46235</x:v>
      </x:c>
    </x:row>
    <x:row r="868" ht="23" customHeight="1">
      <x:c r="A868" s="2" t="str">
        <x:v>SIM-202608-027</x:v>
      </x:c>
      <x:c r="B868" s="2" t="str">
        <x:v>Perro caliente</x:v>
      </x:c>
      <x:c r="C868" s="2" t="str"/>
      <x:c r="D868" s="2" t="n">
        <x:v>1</x:v>
      </x:c>
      <x:c r="E868" s="10" t="n">
        <x:v>13000</x:v>
      </x:c>
      <x:c r="F868" s="10" t="n">
        <x:v>13000</x:v>
      </x:c>
      <x:c r="G868" s="8" t="n">
        <x:f>INDEX('Órdenes'!$B$7:$B$334,MATCH(A868,'Órdenes'!$A$7:$A$334,0))</x:f>
        <x:v>46250</x:v>
      </x:c>
      <x:c r="H868" s="11" t="n">
        <x:f>DATE(YEAR(G868),MONTH(G868),1)</x:f>
        <x:v>46235</x:v>
      </x:c>
    </x:row>
    <x:row r="869" ht="23" customHeight="1">
      <x:c r="A869" s="2" t="str">
        <x:v>SIM-202608-027</x:v>
      </x:c>
      <x:c r="B869" s="2" t="str">
        <x:v>Salchipapas</x:v>
      </x:c>
      <x:c r="C869" s="2" t="str"/>
      <x:c r="D869" s="2" t="n">
        <x:v>1</x:v>
      </x:c>
      <x:c r="E869" s="10" t="n">
        <x:v>12000</x:v>
      </x:c>
      <x:c r="F869" s="10" t="n">
        <x:v>12000</x:v>
      </x:c>
      <x:c r="G869" s="8" t="n">
        <x:f>INDEX('Órdenes'!$B$7:$B$334,MATCH(A869,'Órdenes'!$A$7:$A$334,0))</x:f>
        <x:v>46250</x:v>
      </x:c>
      <x:c r="H869" s="11" t="n">
        <x:f>DATE(YEAR(G869),MONTH(G869),1)</x:f>
        <x:v>46235</x:v>
      </x:c>
    </x:row>
    <x:row r="870" ht="23" customHeight="1">
      <x:c r="A870" s="2" t="str">
        <x:v>SIM-202608-028</x:v>
      </x:c>
      <x:c r="B870" s="2" t="str">
        <x:v>Perro caliente</x:v>
      </x:c>
      <x:c r="C870" s="2" t="str"/>
      <x:c r="D870" s="2" t="n">
        <x:v>1</x:v>
      </x:c>
      <x:c r="E870" s="10" t="n">
        <x:v>13000</x:v>
      </x:c>
      <x:c r="F870" s="10" t="n">
        <x:v>13000</x:v>
      </x:c>
      <x:c r="G870" s="8" t="n">
        <x:f>INDEX('Órdenes'!$B$7:$B$334,MATCH(A870,'Órdenes'!$A$7:$A$334,0))</x:f>
        <x:v>46253</x:v>
      </x:c>
      <x:c r="H870" s="11" t="n">
        <x:f>DATE(YEAR(G870),MONTH(G870),1)</x:f>
        <x:v>46235</x:v>
      </x:c>
    </x:row>
    <x:row r="871" ht="23" customHeight="1">
      <x:c r="A871" s="2" t="str">
        <x:v>SIM-202608-028</x:v>
      </x:c>
      <x:c r="B871" s="2" t="str">
        <x:v>Salchipapas</x:v>
      </x:c>
      <x:c r="C871" s="2" t="str"/>
      <x:c r="D871" s="2" t="n">
        <x:v>1</x:v>
      </x:c>
      <x:c r="E871" s="10" t="n">
        <x:v>12000</x:v>
      </x:c>
      <x:c r="F871" s="10" t="n">
        <x:v>12000</x:v>
      </x:c>
      <x:c r="G871" s="8" t="n">
        <x:f>INDEX('Órdenes'!$B$7:$B$334,MATCH(A871,'Órdenes'!$A$7:$A$334,0))</x:f>
        <x:v>46253</x:v>
      </x:c>
      <x:c r="H871" s="11" t="n">
        <x:f>DATE(YEAR(G871),MONTH(G871),1)</x:f>
        <x:v>46235</x:v>
      </x:c>
    </x:row>
    <x:row r="872" ht="23" customHeight="1">
      <x:c r="A872" s="2" t="str">
        <x:v>SIM-202608-028</x:v>
      </x:c>
      <x:c r="B872" s="2" t="str">
        <x:v>Gaseosas</x:v>
      </x:c>
      <x:c r="C872" s="2" t="str">
        <x:v>Coca-Cola</x:v>
      </x:c>
      <x:c r="D872" s="2" t="n">
        <x:v>1</x:v>
      </x:c>
      <x:c r="E872" s="10" t="n">
        <x:v>5000</x:v>
      </x:c>
      <x:c r="F872" s="10" t="n">
        <x:v>5000</x:v>
      </x:c>
      <x:c r="G872" s="8" t="n">
        <x:f>INDEX('Órdenes'!$B$7:$B$334,MATCH(A872,'Órdenes'!$A$7:$A$334,0))</x:f>
        <x:v>46253</x:v>
      </x:c>
      <x:c r="H872" s="11" t="n">
        <x:f>DATE(YEAR(G872),MONTH(G872),1)</x:f>
        <x:v>46235</x:v>
      </x:c>
    </x:row>
    <x:row r="873" ht="23" customHeight="1">
      <x:c r="A873" s="2" t="str">
        <x:v>SIM-202608-029</x:v>
      </x:c>
      <x:c r="B873" s="2" t="str">
        <x:v>Hamburguesa Clásica</x:v>
      </x:c>
      <x:c r="C873" s="2" t="str"/>
      <x:c r="D873" s="2" t="n">
        <x:v>2</x:v>
      </x:c>
      <x:c r="E873" s="10" t="n">
        <x:v>15000</x:v>
      </x:c>
      <x:c r="F873" s="10" t="n">
        <x:v>30000</x:v>
      </x:c>
      <x:c r="G873" s="8" t="n">
        <x:f>INDEX('Órdenes'!$B$7:$B$334,MATCH(A873,'Órdenes'!$A$7:$A$334,0))</x:f>
        <x:v>46254</x:v>
      </x:c>
      <x:c r="H873" s="11" t="n">
        <x:f>DATE(YEAR(G873),MONTH(G873),1)</x:f>
        <x:v>46235</x:v>
      </x:c>
    </x:row>
    <x:row r="874" ht="23" customHeight="1">
      <x:c r="A874" s="2" t="str">
        <x:v>SIM-202608-029</x:v>
      </x:c>
      <x:c r="B874" s="2" t="str">
        <x:v>Gaseosas</x:v>
      </x:c>
      <x:c r="C874" s="2" t="str">
        <x:v>Coca-Cola</x:v>
      </x:c>
      <x:c r="D874" s="2" t="n">
        <x:v>1</x:v>
      </x:c>
      <x:c r="E874" s="10" t="n">
        <x:v>5000</x:v>
      </x:c>
      <x:c r="F874" s="10" t="n">
        <x:v>5000</x:v>
      </x:c>
      <x:c r="G874" s="8" t="n">
        <x:f>INDEX('Órdenes'!$B$7:$B$334,MATCH(A874,'Órdenes'!$A$7:$A$334,0))</x:f>
        <x:v>46254</x:v>
      </x:c>
      <x:c r="H874" s="11" t="n">
        <x:f>DATE(YEAR(G874),MONTH(G874),1)</x:f>
        <x:v>46235</x:v>
      </x:c>
    </x:row>
    <x:row r="875" ht="23" customHeight="1">
      <x:c r="A875" s="2" t="str">
        <x:v>SIM-202608-030</x:v>
      </x:c>
      <x:c r="B875" s="2" t="str">
        <x:v>Hamburguesa especial</x:v>
      </x:c>
      <x:c r="C875" s="2" t="str"/>
      <x:c r="D875" s="2" t="n">
        <x:v>1</x:v>
      </x:c>
      <x:c r="E875" s="10" t="n">
        <x:v>20000</x:v>
      </x:c>
      <x:c r="F875" s="10" t="n">
        <x:v>20000</x:v>
      </x:c>
      <x:c r="G875" s="8" t="n">
        <x:f>INDEX('Órdenes'!$B$7:$B$334,MATCH(A875,'Órdenes'!$A$7:$A$334,0))</x:f>
        <x:v>46254</x:v>
      </x:c>
      <x:c r="H875" s="11" t="n">
        <x:f>DATE(YEAR(G875),MONTH(G875),1)</x:f>
        <x:v>46235</x:v>
      </x:c>
    </x:row>
    <x:row r="876" ht="23" customHeight="1">
      <x:c r="A876" s="2" t="str">
        <x:v>SIM-202608-030</x:v>
      </x:c>
      <x:c r="B876" s="2" t="str">
        <x:v>Gaseosas</x:v>
      </x:c>
      <x:c r="C876" s="2" t="str">
        <x:v>Coca-Cola</x:v>
      </x:c>
      <x:c r="D876" s="2" t="n">
        <x:v>1</x:v>
      </x:c>
      <x:c r="E876" s="10" t="n">
        <x:v>5000</x:v>
      </x:c>
      <x:c r="F876" s="10" t="n">
        <x:v>5000</x:v>
      </x:c>
      <x:c r="G876" s="8" t="n">
        <x:f>INDEX('Órdenes'!$B$7:$B$334,MATCH(A876,'Órdenes'!$A$7:$A$334,0))</x:f>
        <x:v>46254</x:v>
      </x:c>
      <x:c r="H876" s="11" t="n">
        <x:f>DATE(YEAR(G876),MONTH(G876),1)</x:f>
        <x:v>46235</x:v>
      </x:c>
    </x:row>
    <x:row r="877" ht="23" customHeight="1">
      <x:c r="A877" s="2" t="str">
        <x:v>SIM-202608-031</x:v>
      </x:c>
      <x:c r="B877" s="2" t="str">
        <x:v>Perro caliente</x:v>
      </x:c>
      <x:c r="C877" s="2" t="str"/>
      <x:c r="D877" s="2" t="n">
        <x:v>1</x:v>
      </x:c>
      <x:c r="E877" s="10" t="n">
        <x:v>13000</x:v>
      </x:c>
      <x:c r="F877" s="10" t="n">
        <x:v>13000</x:v>
      </x:c>
      <x:c r="G877" s="8" t="n">
        <x:f>INDEX('Órdenes'!$B$7:$B$334,MATCH(A877,'Órdenes'!$A$7:$A$334,0))</x:f>
        <x:v>46255</x:v>
      </x:c>
      <x:c r="H877" s="11" t="n">
        <x:f>DATE(YEAR(G877),MONTH(G877),1)</x:f>
        <x:v>46235</x:v>
      </x:c>
    </x:row>
    <x:row r="878" ht="23" customHeight="1">
      <x:c r="A878" s="2" t="str">
        <x:v>SIM-202608-031</x:v>
      </x:c>
      <x:c r="B878" s="2" t="str">
        <x:v>Gaseosas</x:v>
      </x:c>
      <x:c r="C878" s="2" t="str">
        <x:v>Coca-Cola</x:v>
      </x:c>
      <x:c r="D878" s="2" t="n">
        <x:v>1</x:v>
      </x:c>
      <x:c r="E878" s="10" t="n">
        <x:v>5000</x:v>
      </x:c>
      <x:c r="F878" s="10" t="n">
        <x:v>5000</x:v>
      </x:c>
      <x:c r="G878" s="8" t="n">
        <x:f>INDEX('Órdenes'!$B$7:$B$334,MATCH(A878,'Órdenes'!$A$7:$A$334,0))</x:f>
        <x:v>46255</x:v>
      </x:c>
      <x:c r="H878" s="11" t="n">
        <x:f>DATE(YEAR(G878),MONTH(G878),1)</x:f>
        <x:v>46235</x:v>
      </x:c>
    </x:row>
    <x:row r="879" ht="23" customHeight="1">
      <x:c r="A879" s="2" t="str">
        <x:v>SIM-202608-032</x:v>
      </x:c>
      <x:c r="B879" s="2" t="str">
        <x:v>Hamburguesa especial</x:v>
      </x:c>
      <x:c r="C879" s="2" t="str"/>
      <x:c r="D879" s="2" t="n">
        <x:v>1</x:v>
      </x:c>
      <x:c r="E879" s="10" t="n">
        <x:v>20000</x:v>
      </x:c>
      <x:c r="F879" s="10" t="n">
        <x:v>20000</x:v>
      </x:c>
      <x:c r="G879" s="8" t="n">
        <x:f>INDEX('Órdenes'!$B$7:$B$334,MATCH(A879,'Órdenes'!$A$7:$A$334,0))</x:f>
        <x:v>46255</x:v>
      </x:c>
      <x:c r="H879" s="11" t="n">
        <x:f>DATE(YEAR(G879),MONTH(G879),1)</x:f>
        <x:v>46235</x:v>
      </x:c>
    </x:row>
    <x:row r="880" ht="23" customHeight="1">
      <x:c r="A880" s="2" t="str">
        <x:v>SIM-202608-032</x:v>
      </x:c>
      <x:c r="B880" s="2" t="str">
        <x:v>Gaseosas</x:v>
      </x:c>
      <x:c r="C880" s="2" t="str">
        <x:v>Coca-Cola</x:v>
      </x:c>
      <x:c r="D880" s="2" t="n">
        <x:v>1</x:v>
      </x:c>
      <x:c r="E880" s="10" t="n">
        <x:v>5000</x:v>
      </x:c>
      <x:c r="F880" s="10" t="n">
        <x:v>5000</x:v>
      </x:c>
      <x:c r="G880" s="8" t="n">
        <x:f>INDEX('Órdenes'!$B$7:$B$334,MATCH(A880,'Órdenes'!$A$7:$A$334,0))</x:f>
        <x:v>46255</x:v>
      </x:c>
      <x:c r="H880" s="11" t="n">
        <x:f>DATE(YEAR(G880),MONTH(G880),1)</x:f>
        <x:v>46235</x:v>
      </x:c>
    </x:row>
    <x:row r="881" ht="23" customHeight="1">
      <x:c r="A881" s="2" t="str">
        <x:v>SIM-202608-033</x:v>
      </x:c>
      <x:c r="B881" s="2" t="str">
        <x:v>Hamburguesa Clásica</x:v>
      </x:c>
      <x:c r="C881" s="2" t="str"/>
      <x:c r="D881" s="2" t="n">
        <x:v>1</x:v>
      </x:c>
      <x:c r="E881" s="10" t="n">
        <x:v>15000</x:v>
      </x:c>
      <x:c r="F881" s="10" t="n">
        <x:v>15000</x:v>
      </x:c>
      <x:c r="G881" s="8" t="n">
        <x:f>INDEX('Órdenes'!$B$7:$B$334,MATCH(A881,'Órdenes'!$A$7:$A$334,0))</x:f>
        <x:v>46255</x:v>
      </x:c>
      <x:c r="H881" s="11" t="n">
        <x:f>DATE(YEAR(G881),MONTH(G881),1)</x:f>
        <x:v>46235</x:v>
      </x:c>
    </x:row>
    <x:row r="882" ht="23" customHeight="1">
      <x:c r="A882" s="2" t="str">
        <x:v>SIM-202608-033</x:v>
      </x:c>
      <x:c r="B882" s="2" t="str">
        <x:v>Perro caliente</x:v>
      </x:c>
      <x:c r="C882" s="2" t="str"/>
      <x:c r="D882" s="2" t="n">
        <x:v>1</x:v>
      </x:c>
      <x:c r="E882" s="10" t="n">
        <x:v>13000</x:v>
      </x:c>
      <x:c r="F882" s="10" t="n">
        <x:v>13000</x:v>
      </x:c>
      <x:c r="G882" s="8" t="n">
        <x:f>INDEX('Órdenes'!$B$7:$B$334,MATCH(A882,'Órdenes'!$A$7:$A$334,0))</x:f>
        <x:v>46255</x:v>
      </x:c>
      <x:c r="H882" s="11" t="n">
        <x:f>DATE(YEAR(G882),MONTH(G882),1)</x:f>
        <x:v>46235</x:v>
      </x:c>
    </x:row>
    <x:row r="883" ht="23" customHeight="1">
      <x:c r="A883" s="2" t="str">
        <x:v>SIM-202608-033</x:v>
      </x:c>
      <x:c r="B883" s="2" t="str">
        <x:v>Salchipapas</x:v>
      </x:c>
      <x:c r="C883" s="2" t="str"/>
      <x:c r="D883" s="2" t="n">
        <x:v>2</x:v>
      </x:c>
      <x:c r="E883" s="10" t="n">
        <x:v>12000</x:v>
      </x:c>
      <x:c r="F883" s="10" t="n">
        <x:v>24000</x:v>
      </x:c>
      <x:c r="G883" s="8" t="n">
        <x:f>INDEX('Órdenes'!$B$7:$B$334,MATCH(A883,'Órdenes'!$A$7:$A$334,0))</x:f>
        <x:v>46255</x:v>
      </x:c>
      <x:c r="H883" s="11" t="n">
        <x:f>DATE(YEAR(G883),MONTH(G883),1)</x:f>
        <x:v>46235</x:v>
      </x:c>
    </x:row>
    <x:row r="884" ht="23" customHeight="1">
      <x:c r="A884" s="2" t="str">
        <x:v>SIM-202608-033</x:v>
      </x:c>
      <x:c r="B884" s="2" t="str">
        <x:v>Gaseosas</x:v>
      </x:c>
      <x:c r="C884" s="2" t="str">
        <x:v>Coca-Cola</x:v>
      </x:c>
      <x:c r="D884" s="2" t="n">
        <x:v>1</x:v>
      </x:c>
      <x:c r="E884" s="10" t="n">
        <x:v>5000</x:v>
      </x:c>
      <x:c r="F884" s="10" t="n">
        <x:v>5000</x:v>
      </x:c>
      <x:c r="G884" s="8" t="n">
        <x:f>INDEX('Órdenes'!$B$7:$B$334,MATCH(A884,'Órdenes'!$A$7:$A$334,0))</x:f>
        <x:v>46255</x:v>
      </x:c>
      <x:c r="H884" s="11" t="n">
        <x:f>DATE(YEAR(G884),MONTH(G884),1)</x:f>
        <x:v>46235</x:v>
      </x:c>
    </x:row>
    <x:row r="885" ht="23" customHeight="1">
      <x:c r="A885" s="2" t="str">
        <x:v>SIM-202608-033</x:v>
      </x:c>
      <x:c r="B885" s="2" t="str">
        <x:v>Gaseosas</x:v>
      </x:c>
      <x:c r="C885" s="2" t="str">
        <x:v>Manzana</x:v>
      </x:c>
      <x:c r="D885" s="2" t="n">
        <x:v>1</x:v>
      </x:c>
      <x:c r="E885" s="10" t="n">
        <x:v>5000</x:v>
      </x:c>
      <x:c r="F885" s="10" t="n">
        <x:v>5000</x:v>
      </x:c>
      <x:c r="G885" s="8" t="n">
        <x:f>INDEX('Órdenes'!$B$7:$B$334,MATCH(A885,'Órdenes'!$A$7:$A$334,0))</x:f>
        <x:v>46255</x:v>
      </x:c>
      <x:c r="H885" s="11" t="n">
        <x:f>DATE(YEAR(G885),MONTH(G885),1)</x:f>
        <x:v>46235</x:v>
      </x:c>
    </x:row>
    <x:row r="886" ht="23" customHeight="1">
      <x:c r="A886" s="2" t="str">
        <x:v>SIM-202608-033</x:v>
      </x:c>
      <x:c r="B886" s="2" t="str">
        <x:v>Gaseosas</x:v>
      </x:c>
      <x:c r="C886" s="2" t="str">
        <x:v>Sprite</x:v>
      </x:c>
      <x:c r="D886" s="2" t="n">
        <x:v>1</x:v>
      </x:c>
      <x:c r="E886" s="10" t="n">
        <x:v>5000</x:v>
      </x:c>
      <x:c r="F886" s="10" t="n">
        <x:v>5000</x:v>
      </x:c>
      <x:c r="G886" s="8" t="n">
        <x:f>INDEX('Órdenes'!$B$7:$B$334,MATCH(A886,'Órdenes'!$A$7:$A$334,0))</x:f>
        <x:v>46255</x:v>
      </x:c>
      <x:c r="H886" s="11" t="n">
        <x:f>DATE(YEAR(G886),MONTH(G886),1)</x:f>
        <x:v>46235</x:v>
      </x:c>
    </x:row>
    <x:row r="887" ht="23" customHeight="1">
      <x:c r="A887" s="2" t="str">
        <x:v>SIM-202608-034</x:v>
      </x:c>
      <x:c r="B887" s="2" t="str">
        <x:v>Hamburguesa Clásica</x:v>
      </x:c>
      <x:c r="C887" s="2" t="str"/>
      <x:c r="D887" s="2" t="n">
        <x:v>1</x:v>
      </x:c>
      <x:c r="E887" s="10" t="n">
        <x:v>15000</x:v>
      </x:c>
      <x:c r="F887" s="10" t="n">
        <x:v>15000</x:v>
      </x:c>
      <x:c r="G887" s="8" t="n">
        <x:f>INDEX('Órdenes'!$B$7:$B$334,MATCH(A887,'Órdenes'!$A$7:$A$334,0))</x:f>
        <x:v>46255</x:v>
      </x:c>
      <x:c r="H887" s="11" t="n">
        <x:f>DATE(YEAR(G887),MONTH(G887),1)</x:f>
        <x:v>46235</x:v>
      </x:c>
    </x:row>
    <x:row r="888" ht="23" customHeight="1">
      <x:c r="A888" s="2" t="str">
        <x:v>SIM-202608-034</x:v>
      </x:c>
      <x:c r="B888" s="2" t="str">
        <x:v>Hamburguesa especial</x:v>
      </x:c>
      <x:c r="C888" s="2" t="str"/>
      <x:c r="D888" s="2" t="n">
        <x:v>1</x:v>
      </x:c>
      <x:c r="E888" s="10" t="n">
        <x:v>20000</x:v>
      </x:c>
      <x:c r="F888" s="10" t="n">
        <x:v>20000</x:v>
      </x:c>
      <x:c r="G888" s="8" t="n">
        <x:f>INDEX('Órdenes'!$B$7:$B$334,MATCH(A888,'Órdenes'!$A$7:$A$334,0))</x:f>
        <x:v>46255</x:v>
      </x:c>
      <x:c r="H888" s="11" t="n">
        <x:f>DATE(YEAR(G888),MONTH(G888),1)</x:f>
        <x:v>46235</x:v>
      </x:c>
    </x:row>
    <x:row r="889" ht="23" customHeight="1">
      <x:c r="A889" s="2" t="str">
        <x:v>SIM-202608-034</x:v>
      </x:c>
      <x:c r="B889" s="2" t="str">
        <x:v>Salchipapas</x:v>
      </x:c>
      <x:c r="C889" s="2" t="str"/>
      <x:c r="D889" s="2" t="n">
        <x:v>1</x:v>
      </x:c>
      <x:c r="E889" s="10" t="n">
        <x:v>12000</x:v>
      </x:c>
      <x:c r="F889" s="10" t="n">
        <x:v>12000</x:v>
      </x:c>
      <x:c r="G889" s="8" t="n">
        <x:f>INDEX('Órdenes'!$B$7:$B$334,MATCH(A889,'Órdenes'!$A$7:$A$334,0))</x:f>
        <x:v>46255</x:v>
      </x:c>
      <x:c r="H889" s="11" t="n">
        <x:f>DATE(YEAR(G889),MONTH(G889),1)</x:f>
        <x:v>46235</x:v>
      </x:c>
    </x:row>
    <x:row r="890" ht="23" customHeight="1">
      <x:c r="A890" s="2" t="str">
        <x:v>SIM-202608-034</x:v>
      </x:c>
      <x:c r="B890" s="2" t="str">
        <x:v>Gaseosas</x:v>
      </x:c>
      <x:c r="C890" s="2" t="str">
        <x:v>Coca-Cola</x:v>
      </x:c>
      <x:c r="D890" s="2" t="n">
        <x:v>1</x:v>
      </x:c>
      <x:c r="E890" s="10" t="n">
        <x:v>5000</x:v>
      </x:c>
      <x:c r="F890" s="10" t="n">
        <x:v>5000</x:v>
      </x:c>
      <x:c r="G890" s="8" t="n">
        <x:f>INDEX('Órdenes'!$B$7:$B$334,MATCH(A890,'Órdenes'!$A$7:$A$334,0))</x:f>
        <x:v>46255</x:v>
      </x:c>
      <x:c r="H890" s="11" t="n">
        <x:f>DATE(YEAR(G890),MONTH(G890),1)</x:f>
        <x:v>46235</x:v>
      </x:c>
    </x:row>
    <x:row r="891" ht="23" customHeight="1">
      <x:c r="A891" s="2" t="str">
        <x:v>SIM-202608-035</x:v>
      </x:c>
      <x:c r="B891" s="2" t="str">
        <x:v>Hamburguesa Clásica</x:v>
      </x:c>
      <x:c r="C891" s="2" t="str"/>
      <x:c r="D891" s="2" t="n">
        <x:v>3</x:v>
      </x:c>
      <x:c r="E891" s="10" t="n">
        <x:v>15000</x:v>
      </x:c>
      <x:c r="F891" s="10" t="n">
        <x:v>45000</x:v>
      </x:c>
      <x:c r="G891" s="8" t="n">
        <x:f>INDEX('Órdenes'!$B$7:$B$334,MATCH(A891,'Órdenes'!$A$7:$A$334,0))</x:f>
        <x:v>46257</x:v>
      </x:c>
      <x:c r="H891" s="11" t="n">
        <x:f>DATE(YEAR(G891),MONTH(G891),1)</x:f>
        <x:v>46235</x:v>
      </x:c>
    </x:row>
    <x:row r="892" ht="23" customHeight="1">
      <x:c r="A892" s="2" t="str">
        <x:v>SIM-202608-035</x:v>
      </x:c>
      <x:c r="B892" s="2" t="str">
        <x:v>Gaseosas</x:v>
      </x:c>
      <x:c r="C892" s="2" t="str">
        <x:v>Coca-Cola</x:v>
      </x:c>
      <x:c r="D892" s="2" t="n">
        <x:v>1</x:v>
      </x:c>
      <x:c r="E892" s="10" t="n">
        <x:v>5000</x:v>
      </x:c>
      <x:c r="F892" s="10" t="n">
        <x:v>5000</x:v>
      </x:c>
      <x:c r="G892" s="8" t="n">
        <x:f>INDEX('Órdenes'!$B$7:$B$334,MATCH(A892,'Órdenes'!$A$7:$A$334,0))</x:f>
        <x:v>46257</x:v>
      </x:c>
      <x:c r="H892" s="11" t="n">
        <x:f>DATE(YEAR(G892),MONTH(G892),1)</x:f>
        <x:v>46235</x:v>
      </x:c>
    </x:row>
    <x:row r="893" ht="23" customHeight="1">
      <x:c r="A893" s="2" t="str">
        <x:v>SIM-202608-035</x:v>
      </x:c>
      <x:c r="B893" s="2" t="str">
        <x:v>Gaseosas</x:v>
      </x:c>
      <x:c r="C893" s="2" t="str">
        <x:v>Manzana</x:v>
      </x:c>
      <x:c r="D893" s="2" t="n">
        <x:v>1</x:v>
      </x:c>
      <x:c r="E893" s="10" t="n">
        <x:v>5000</x:v>
      </x:c>
      <x:c r="F893" s="10" t="n">
        <x:v>5000</x:v>
      </x:c>
      <x:c r="G893" s="8" t="n">
        <x:f>INDEX('Órdenes'!$B$7:$B$334,MATCH(A893,'Órdenes'!$A$7:$A$334,0))</x:f>
        <x:v>46257</x:v>
      </x:c>
      <x:c r="H893" s="11" t="n">
        <x:f>DATE(YEAR(G893),MONTH(G893),1)</x:f>
        <x:v>46235</x:v>
      </x:c>
    </x:row>
    <x:row r="894" ht="23" customHeight="1">
      <x:c r="A894" s="2" t="str">
        <x:v>SIM-202608-035</x:v>
      </x:c>
      <x:c r="B894" s="2" t="str">
        <x:v>Gaseosas</x:v>
      </x:c>
      <x:c r="C894" s="2" t="str">
        <x:v>Sprite</x:v>
      </x:c>
      <x:c r="D894" s="2" t="n">
        <x:v>1</x:v>
      </x:c>
      <x:c r="E894" s="10" t="n">
        <x:v>5000</x:v>
      </x:c>
      <x:c r="F894" s="10" t="n">
        <x:v>5000</x:v>
      </x:c>
      <x:c r="G894" s="8" t="n">
        <x:f>INDEX('Órdenes'!$B$7:$B$334,MATCH(A894,'Órdenes'!$A$7:$A$334,0))</x:f>
        <x:v>46257</x:v>
      </x:c>
      <x:c r="H894" s="11" t="n">
        <x:f>DATE(YEAR(G894),MONTH(G894),1)</x:f>
        <x:v>46235</x:v>
      </x:c>
    </x:row>
    <x:row r="895" ht="23" customHeight="1">
      <x:c r="A895" s="2" t="str">
        <x:v>SIM-202608-036</x:v>
      </x:c>
      <x:c r="B895" s="2" t="str">
        <x:v>Perro caliente</x:v>
      </x:c>
      <x:c r="C895" s="2" t="str"/>
      <x:c r="D895" s="2" t="n">
        <x:v>1</x:v>
      </x:c>
      <x:c r="E895" s="10" t="n">
        <x:v>13000</x:v>
      </x:c>
      <x:c r="F895" s="10" t="n">
        <x:v>13000</x:v>
      </x:c>
      <x:c r="G895" s="8" t="n">
        <x:f>INDEX('Órdenes'!$B$7:$B$334,MATCH(A895,'Órdenes'!$A$7:$A$334,0))</x:f>
        <x:v>46259</x:v>
      </x:c>
      <x:c r="H895" s="11" t="n">
        <x:f>DATE(YEAR(G895),MONTH(G895),1)</x:f>
        <x:v>46235</x:v>
      </x:c>
    </x:row>
    <x:row r="896" ht="23" customHeight="1">
      <x:c r="A896" s="2" t="str">
        <x:v>SIM-202608-036</x:v>
      </x:c>
      <x:c r="B896" s="2" t="str">
        <x:v>Gaseosas</x:v>
      </x:c>
      <x:c r="C896" s="2" t="str">
        <x:v>Coca-Cola</x:v>
      </x:c>
      <x:c r="D896" s="2" t="n">
        <x:v>1</x:v>
      </x:c>
      <x:c r="E896" s="10" t="n">
        <x:v>5000</x:v>
      </x:c>
      <x:c r="F896" s="10" t="n">
        <x:v>5000</x:v>
      </x:c>
      <x:c r="G896" s="8" t="n">
        <x:f>INDEX('Órdenes'!$B$7:$B$334,MATCH(A896,'Órdenes'!$A$7:$A$334,0))</x:f>
        <x:v>46259</x:v>
      </x:c>
      <x:c r="H896" s="11" t="n">
        <x:f>DATE(YEAR(G896),MONTH(G896),1)</x:f>
        <x:v>46235</x:v>
      </x:c>
    </x:row>
    <x:row r="897" ht="23" customHeight="1">
      <x:c r="A897" s="2" t="str">
        <x:v>SIM-202608-037</x:v>
      </x:c>
      <x:c r="B897" s="2" t="str">
        <x:v>Hamburguesa Clásica</x:v>
      </x:c>
      <x:c r="C897" s="2" t="str"/>
      <x:c r="D897" s="2" t="n">
        <x:v>1</x:v>
      </x:c>
      <x:c r="E897" s="10" t="n">
        <x:v>15000</x:v>
      </x:c>
      <x:c r="F897" s="10" t="n">
        <x:v>15000</x:v>
      </x:c>
      <x:c r="G897" s="8" t="n">
        <x:f>INDEX('Órdenes'!$B$7:$B$334,MATCH(A897,'Órdenes'!$A$7:$A$334,0))</x:f>
        <x:v>46260</x:v>
      </x:c>
      <x:c r="H897" s="11" t="n">
        <x:f>DATE(YEAR(G897),MONTH(G897),1)</x:f>
        <x:v>46235</x:v>
      </x:c>
    </x:row>
    <x:row r="898" ht="23" customHeight="1">
      <x:c r="A898" s="2" t="str">
        <x:v>SIM-202608-037</x:v>
      </x:c>
      <x:c r="B898" s="2" t="str">
        <x:v>Hamburguesa especial</x:v>
      </x:c>
      <x:c r="C898" s="2" t="str"/>
      <x:c r="D898" s="2" t="n">
        <x:v>1</x:v>
      </x:c>
      <x:c r="E898" s="10" t="n">
        <x:v>20000</x:v>
      </x:c>
      <x:c r="F898" s="10" t="n">
        <x:v>20000</x:v>
      </x:c>
      <x:c r="G898" s="8" t="n">
        <x:f>INDEX('Órdenes'!$B$7:$B$334,MATCH(A898,'Órdenes'!$A$7:$A$334,0))</x:f>
        <x:v>46260</x:v>
      </x:c>
      <x:c r="H898" s="11" t="n">
        <x:f>DATE(YEAR(G898),MONTH(G898),1)</x:f>
        <x:v>46235</x:v>
      </x:c>
    </x:row>
    <x:row r="899" ht="23" customHeight="1">
      <x:c r="A899" s="2" t="str">
        <x:v>SIM-202608-037</x:v>
      </x:c>
      <x:c r="B899" s="2" t="str">
        <x:v>Gaseosas</x:v>
      </x:c>
      <x:c r="C899" s="2" t="str">
        <x:v>Coca-Cola</x:v>
      </x:c>
      <x:c r="D899" s="2" t="n">
        <x:v>2</x:v>
      </x:c>
      <x:c r="E899" s="10" t="n">
        <x:v>5000</x:v>
      </x:c>
      <x:c r="F899" s="10" t="n">
        <x:v>10000</x:v>
      </x:c>
      <x:c r="G899" s="8" t="n">
        <x:f>INDEX('Órdenes'!$B$7:$B$334,MATCH(A899,'Órdenes'!$A$7:$A$334,0))</x:f>
        <x:v>46260</x:v>
      </x:c>
      <x:c r="H899" s="11" t="n">
        <x:f>DATE(YEAR(G899),MONTH(G899),1)</x:f>
        <x:v>46235</x:v>
      </x:c>
    </x:row>
    <x:row r="900" ht="23" customHeight="1">
      <x:c r="A900" s="2" t="str">
        <x:v>SIM-202608-038</x:v>
      </x:c>
      <x:c r="B900" s="2" t="str">
        <x:v>Hamburguesa Clásica</x:v>
      </x:c>
      <x:c r="C900" s="2" t="str"/>
      <x:c r="D900" s="2" t="n">
        <x:v>1</x:v>
      </x:c>
      <x:c r="E900" s="10" t="n">
        <x:v>15000</x:v>
      </x:c>
      <x:c r="F900" s="10" t="n">
        <x:v>15000</x:v>
      </x:c>
      <x:c r="G900" s="8" t="n">
        <x:f>INDEX('Órdenes'!$B$7:$B$334,MATCH(A900,'Órdenes'!$A$7:$A$334,0))</x:f>
        <x:v>46260</x:v>
      </x:c>
      <x:c r="H900" s="11" t="n">
        <x:f>DATE(YEAR(G900),MONTH(G900),1)</x:f>
        <x:v>46235</x:v>
      </x:c>
    </x:row>
    <x:row r="901" ht="23" customHeight="1">
      <x:c r="A901" s="2" t="str">
        <x:v>SIM-202608-038</x:v>
      </x:c>
      <x:c r="B901" s="2" t="str">
        <x:v>Hamburguesa especial</x:v>
      </x:c>
      <x:c r="C901" s="2" t="str"/>
      <x:c r="D901" s="2" t="n">
        <x:v>1</x:v>
      </x:c>
      <x:c r="E901" s="10" t="n">
        <x:v>20000</x:v>
      </x:c>
      <x:c r="F901" s="10" t="n">
        <x:v>20000</x:v>
      </x:c>
      <x:c r="G901" s="8" t="n">
        <x:f>INDEX('Órdenes'!$B$7:$B$334,MATCH(A901,'Órdenes'!$A$7:$A$334,0))</x:f>
        <x:v>46260</x:v>
      </x:c>
      <x:c r="H901" s="11" t="n">
        <x:f>DATE(YEAR(G901),MONTH(G901),1)</x:f>
        <x:v>46235</x:v>
      </x:c>
    </x:row>
    <x:row r="902" ht="23" customHeight="1">
      <x:c r="A902" s="2" t="str">
        <x:v>SIM-202608-038</x:v>
      </x:c>
      <x:c r="B902" s="2" t="str">
        <x:v>Gaseosas</x:v>
      </x:c>
      <x:c r="C902" s="2" t="str">
        <x:v>Coca-Cola</x:v>
      </x:c>
      <x:c r="D902" s="2" t="n">
        <x:v>2</x:v>
      </x:c>
      <x:c r="E902" s="10" t="n">
        <x:v>5000</x:v>
      </x:c>
      <x:c r="F902" s="10" t="n">
        <x:v>10000</x:v>
      </x:c>
      <x:c r="G902" s="8" t="n">
        <x:f>INDEX('Órdenes'!$B$7:$B$334,MATCH(A902,'Órdenes'!$A$7:$A$334,0))</x:f>
        <x:v>46260</x:v>
      </x:c>
      <x:c r="H902" s="11" t="n">
        <x:f>DATE(YEAR(G902),MONTH(G902),1)</x:f>
        <x:v>46235</x:v>
      </x:c>
    </x:row>
    <x:row r="903" ht="23" customHeight="1">
      <x:c r="A903" s="2" t="str">
        <x:v>SIM-202608-039</x:v>
      </x:c>
      <x:c r="B903" s="2" t="str">
        <x:v>Salchipapas</x:v>
      </x:c>
      <x:c r="C903" s="2" t="str"/>
      <x:c r="D903" s="2" t="n">
        <x:v>1</x:v>
      </x:c>
      <x:c r="E903" s="10" t="n">
        <x:v>12000</x:v>
      </x:c>
      <x:c r="F903" s="10" t="n">
        <x:v>12000</x:v>
      </x:c>
      <x:c r="G903" s="8" t="n">
        <x:f>INDEX('Órdenes'!$B$7:$B$334,MATCH(A903,'Órdenes'!$A$7:$A$334,0))</x:f>
        <x:v>46261</x:v>
      </x:c>
      <x:c r="H903" s="11" t="n">
        <x:f>DATE(YEAR(G903),MONTH(G903),1)</x:f>
        <x:v>46235</x:v>
      </x:c>
    </x:row>
    <x:row r="904" ht="23" customHeight="1">
      <x:c r="A904" s="2" t="str">
        <x:v>SIM-202608-040</x:v>
      </x:c>
      <x:c r="B904" s="2" t="str">
        <x:v>Hamburguesa Clásica</x:v>
      </x:c>
      <x:c r="C904" s="2" t="str"/>
      <x:c r="D904" s="2" t="n">
        <x:v>1</x:v>
      </x:c>
      <x:c r="E904" s="10" t="n">
        <x:v>15000</x:v>
      </x:c>
      <x:c r="F904" s="10" t="n">
        <x:v>15000</x:v>
      </x:c>
      <x:c r="G904" s="8" t="n">
        <x:f>INDEX('Órdenes'!$B$7:$B$334,MATCH(A904,'Órdenes'!$A$7:$A$334,0))</x:f>
        <x:v>46261</x:v>
      </x:c>
      <x:c r="H904" s="11" t="n">
        <x:f>DATE(YEAR(G904),MONTH(G904),1)</x:f>
        <x:v>46235</x:v>
      </x:c>
    </x:row>
    <x:row r="905" ht="23" customHeight="1">
      <x:c r="A905" s="2" t="str">
        <x:v>SIM-202608-040</x:v>
      </x:c>
      <x:c r="B905" s="2" t="str">
        <x:v>Hamburguesa especial</x:v>
      </x:c>
      <x:c r="C905" s="2" t="str"/>
      <x:c r="D905" s="2" t="n">
        <x:v>1</x:v>
      </x:c>
      <x:c r="E905" s="10" t="n">
        <x:v>20000</x:v>
      </x:c>
      <x:c r="F905" s="10" t="n">
        <x:v>20000</x:v>
      </x:c>
      <x:c r="G905" s="8" t="n">
        <x:f>INDEX('Órdenes'!$B$7:$B$334,MATCH(A905,'Órdenes'!$A$7:$A$334,0))</x:f>
        <x:v>46261</x:v>
      </x:c>
      <x:c r="H905" s="11" t="n">
        <x:f>DATE(YEAR(G905),MONTH(G905),1)</x:f>
        <x:v>46235</x:v>
      </x:c>
    </x:row>
    <x:row r="906" ht="23" customHeight="1">
      <x:c r="A906" s="2" t="str">
        <x:v>SIM-202608-040</x:v>
      </x:c>
      <x:c r="B906" s="2" t="str">
        <x:v>Gaseosas</x:v>
      </x:c>
      <x:c r="C906" s="2" t="str">
        <x:v>Coca-Cola</x:v>
      </x:c>
      <x:c r="D906" s="2" t="n">
        <x:v>1</x:v>
      </x:c>
      <x:c r="E906" s="10" t="n">
        <x:v>5000</x:v>
      </x:c>
      <x:c r="F906" s="10" t="n">
        <x:v>5000</x:v>
      </x:c>
      <x:c r="G906" s="8" t="n">
        <x:f>INDEX('Órdenes'!$B$7:$B$334,MATCH(A906,'Órdenes'!$A$7:$A$334,0))</x:f>
        <x:v>46261</x:v>
      </x:c>
      <x:c r="H906" s="11" t="n">
        <x:f>DATE(YEAR(G906),MONTH(G906),1)</x:f>
        <x:v>46235</x:v>
      </x:c>
    </x:row>
    <x:row r="907" ht="23" customHeight="1">
      <x:c r="A907" s="2" t="str">
        <x:v>SIM-202608-040</x:v>
      </x:c>
      <x:c r="B907" s="2" t="str">
        <x:v>Gaseosas</x:v>
      </x:c>
      <x:c r="C907" s="2" t="str">
        <x:v>Manzana</x:v>
      </x:c>
      <x:c r="D907" s="2" t="n">
        <x:v>1</x:v>
      </x:c>
      <x:c r="E907" s="10" t="n">
        <x:v>5000</x:v>
      </x:c>
      <x:c r="F907" s="10" t="n">
        <x:v>5000</x:v>
      </x:c>
      <x:c r="G907" s="8" t="n">
        <x:f>INDEX('Órdenes'!$B$7:$B$334,MATCH(A907,'Órdenes'!$A$7:$A$334,0))</x:f>
        <x:v>46261</x:v>
      </x:c>
      <x:c r="H907" s="11" t="n">
        <x:f>DATE(YEAR(G907),MONTH(G907),1)</x:f>
        <x:v>46235</x:v>
      </x:c>
    </x:row>
    <x:row r="908" ht="23" customHeight="1">
      <x:c r="A908" s="2" t="str">
        <x:v>SIM-202608-041</x:v>
      </x:c>
      <x:c r="B908" s="2" t="str">
        <x:v>Hamburguesa Clásica</x:v>
      </x:c>
      <x:c r="C908" s="2" t="str"/>
      <x:c r="D908" s="2" t="n">
        <x:v>1</x:v>
      </x:c>
      <x:c r="E908" s="10" t="n">
        <x:v>15000</x:v>
      </x:c>
      <x:c r="F908" s="10" t="n">
        <x:v>15000</x:v>
      </x:c>
      <x:c r="G908" s="8" t="n">
        <x:f>INDEX('Órdenes'!$B$7:$B$334,MATCH(A908,'Órdenes'!$A$7:$A$334,0))</x:f>
        <x:v>46262</x:v>
      </x:c>
      <x:c r="H908" s="11" t="n">
        <x:f>DATE(YEAR(G908),MONTH(G908),1)</x:f>
        <x:v>46235</x:v>
      </x:c>
    </x:row>
    <x:row r="909" ht="23" customHeight="1">
      <x:c r="A909" s="2" t="str">
        <x:v>SIM-202608-041</x:v>
      </x:c>
      <x:c r="B909" s="2" t="str">
        <x:v>Hamburguesa especial</x:v>
      </x:c>
      <x:c r="C909" s="2" t="str"/>
      <x:c r="D909" s="2" t="n">
        <x:v>1</x:v>
      </x:c>
      <x:c r="E909" s="10" t="n">
        <x:v>20000</x:v>
      </x:c>
      <x:c r="F909" s="10" t="n">
        <x:v>20000</x:v>
      </x:c>
      <x:c r="G909" s="8" t="n">
        <x:f>INDEX('Órdenes'!$B$7:$B$334,MATCH(A909,'Órdenes'!$A$7:$A$334,0))</x:f>
        <x:v>46262</x:v>
      </x:c>
      <x:c r="H909" s="11" t="n">
        <x:f>DATE(YEAR(G909),MONTH(G909),1)</x:f>
        <x:v>46235</x:v>
      </x:c>
    </x:row>
    <x:row r="910" ht="23" customHeight="1">
      <x:c r="A910" s="2" t="str">
        <x:v>SIM-202608-041</x:v>
      </x:c>
      <x:c r="B910" s="2" t="str">
        <x:v>Gaseosas</x:v>
      </x:c>
      <x:c r="C910" s="2" t="str">
        <x:v>Coca-Cola</x:v>
      </x:c>
      <x:c r="D910" s="2" t="n">
        <x:v>1</x:v>
      </x:c>
      <x:c r="E910" s="10" t="n">
        <x:v>5000</x:v>
      </x:c>
      <x:c r="F910" s="10" t="n">
        <x:v>5000</x:v>
      </x:c>
      <x:c r="G910" s="8" t="n">
        <x:f>INDEX('Órdenes'!$B$7:$B$334,MATCH(A910,'Órdenes'!$A$7:$A$334,0))</x:f>
        <x:v>46262</x:v>
      </x:c>
      <x:c r="H910" s="11" t="n">
        <x:f>DATE(YEAR(G910),MONTH(G910),1)</x:f>
        <x:v>46235</x:v>
      </x:c>
    </x:row>
    <x:row r="911" ht="23" customHeight="1">
      <x:c r="A911" s="2" t="str">
        <x:v>SIM-202608-041</x:v>
      </x:c>
      <x:c r="B911" s="2" t="str">
        <x:v>Gaseosas</x:v>
      </x:c>
      <x:c r="C911" s="2" t="str">
        <x:v>Manzana</x:v>
      </x:c>
      <x:c r="D911" s="2" t="n">
        <x:v>1</x:v>
      </x:c>
      <x:c r="E911" s="10" t="n">
        <x:v>5000</x:v>
      </x:c>
      <x:c r="F911" s="10" t="n">
        <x:v>5000</x:v>
      </x:c>
      <x:c r="G911" s="8" t="n">
        <x:f>INDEX('Órdenes'!$B$7:$B$334,MATCH(A911,'Órdenes'!$A$7:$A$334,0))</x:f>
        <x:v>46262</x:v>
      </x:c>
      <x:c r="H911" s="11" t="n">
        <x:f>DATE(YEAR(G911),MONTH(G911),1)</x:f>
        <x:v>46235</x:v>
      </x:c>
    </x:row>
    <x:row r="912" ht="23" customHeight="1">
      <x:c r="A912" s="2" t="str">
        <x:v>SIM-202608-042</x:v>
      </x:c>
      <x:c r="B912" s="2" t="str">
        <x:v>Hamburguesa Clásica</x:v>
      </x:c>
      <x:c r="C912" s="2" t="str"/>
      <x:c r="D912" s="2" t="n">
        <x:v>1</x:v>
      </x:c>
      <x:c r="E912" s="10" t="n">
        <x:v>15000</x:v>
      </x:c>
      <x:c r="F912" s="10" t="n">
        <x:v>15000</x:v>
      </x:c>
      <x:c r="G912" s="8" t="n">
        <x:f>INDEX('Órdenes'!$B$7:$B$334,MATCH(A912,'Órdenes'!$A$7:$A$334,0))</x:f>
        <x:v>46263</x:v>
      </x:c>
      <x:c r="H912" s="11" t="n">
        <x:f>DATE(YEAR(G912),MONTH(G912),1)</x:f>
        <x:v>46235</x:v>
      </x:c>
    </x:row>
    <x:row r="913" ht="23" customHeight="1">
      <x:c r="A913" s="2" t="str">
        <x:v>SIM-202608-042</x:v>
      </x:c>
      <x:c r="B913" s="2" t="str">
        <x:v>Gaseosas</x:v>
      </x:c>
      <x:c r="C913" s="2" t="str">
        <x:v>Coca-Cola</x:v>
      </x:c>
      <x:c r="D913" s="2" t="n">
        <x:v>1</x:v>
      </x:c>
      <x:c r="E913" s="10" t="n">
        <x:v>5000</x:v>
      </x:c>
      <x:c r="F913" s="10" t="n">
        <x:v>5000</x:v>
      </x:c>
      <x:c r="G913" s="8" t="n">
        <x:f>INDEX('Órdenes'!$B$7:$B$334,MATCH(A913,'Órdenes'!$A$7:$A$334,0))</x:f>
        <x:v>46263</x:v>
      </x:c>
      <x:c r="H913" s="11" t="n">
        <x:f>DATE(YEAR(G913),MONTH(G913),1)</x:f>
        <x:v>46235</x:v>
      </x:c>
    </x:row>
    <x:row r="914" ht="23" customHeight="1">
      <x:c r="A914" s="2" t="str">
        <x:v>SIM-202608-043</x:v>
      </x:c>
      <x:c r="B914" s="2" t="str">
        <x:v>Hamburguesa especial</x:v>
      </x:c>
      <x:c r="C914" s="2" t="str"/>
      <x:c r="D914" s="2" t="n">
        <x:v>1</x:v>
      </x:c>
      <x:c r="E914" s="10" t="n">
        <x:v>20000</x:v>
      </x:c>
      <x:c r="F914" s="10" t="n">
        <x:v>20000</x:v>
      </x:c>
      <x:c r="G914" s="8" t="n">
        <x:f>INDEX('Órdenes'!$B$7:$B$334,MATCH(A914,'Órdenes'!$A$7:$A$334,0))</x:f>
        <x:v>46263</x:v>
      </x:c>
      <x:c r="H914" s="11" t="n">
        <x:f>DATE(YEAR(G914),MONTH(G914),1)</x:f>
        <x:v>46235</x:v>
      </x:c>
    </x:row>
    <x:row r="915" ht="23" customHeight="1">
      <x:c r="A915" s="2" t="str">
        <x:v>SIM-202608-043</x:v>
      </x:c>
      <x:c r="B915" s="2" t="str">
        <x:v>Perro caliente</x:v>
      </x:c>
      <x:c r="C915" s="2" t="str"/>
      <x:c r="D915" s="2" t="n">
        <x:v>1</x:v>
      </x:c>
      <x:c r="E915" s="10" t="n">
        <x:v>13000</x:v>
      </x:c>
      <x:c r="F915" s="10" t="n">
        <x:v>13000</x:v>
      </x:c>
      <x:c r="G915" s="8" t="n">
        <x:f>INDEX('Órdenes'!$B$7:$B$334,MATCH(A915,'Órdenes'!$A$7:$A$334,0))</x:f>
        <x:v>46263</x:v>
      </x:c>
      <x:c r="H915" s="11" t="n">
        <x:f>DATE(YEAR(G915),MONTH(G915),1)</x:f>
        <x:v>46235</x:v>
      </x:c>
    </x:row>
    <x:row r="916" ht="23" customHeight="1">
      <x:c r="A916" s="2" t="str">
        <x:v>SIM-202608-043</x:v>
      </x:c>
      <x:c r="B916" s="2" t="str">
        <x:v>Gaseosas</x:v>
      </x:c>
      <x:c r="C916" s="2" t="str">
        <x:v>Coca-Cola</x:v>
      </x:c>
      <x:c r="D916" s="2" t="n">
        <x:v>1</x:v>
      </x:c>
      <x:c r="E916" s="10" t="n">
        <x:v>5000</x:v>
      </x:c>
      <x:c r="F916" s="10" t="n">
        <x:v>5000</x:v>
      </x:c>
      <x:c r="G916" s="8" t="n">
        <x:f>INDEX('Órdenes'!$B$7:$B$334,MATCH(A916,'Órdenes'!$A$7:$A$334,0))</x:f>
        <x:v>46263</x:v>
      </x:c>
      <x:c r="H916" s="11" t="n">
        <x:f>DATE(YEAR(G916),MONTH(G916),1)</x:f>
        <x:v>46235</x:v>
      </x:c>
    </x:row>
    <x:row r="917" ht="23" customHeight="1">
      <x:c r="A917" s="2" t="str">
        <x:v>SIM-202608-044</x:v>
      </x:c>
      <x:c r="B917" s="2" t="str">
        <x:v>Hamburguesa Clásica</x:v>
      </x:c>
      <x:c r="C917" s="2" t="str"/>
      <x:c r="D917" s="2" t="n">
        <x:v>2</x:v>
      </x:c>
      <x:c r="E917" s="10" t="n">
        <x:v>15000</x:v>
      </x:c>
      <x:c r="F917" s="10" t="n">
        <x:v>30000</x:v>
      </x:c>
      <x:c r="G917" s="8" t="n">
        <x:f>INDEX('Órdenes'!$B$7:$B$334,MATCH(A917,'Órdenes'!$A$7:$A$334,0))</x:f>
        <x:v>46263</x:v>
      </x:c>
      <x:c r="H917" s="11" t="n">
        <x:f>DATE(YEAR(G917),MONTH(G917),1)</x:f>
        <x:v>46235</x:v>
      </x:c>
    </x:row>
    <x:row r="918" ht="23" customHeight="1">
      <x:c r="A918" s="2" t="str">
        <x:v>SIM-202608-044</x:v>
      </x:c>
      <x:c r="B918" s="2" t="str">
        <x:v>Gaseosas</x:v>
      </x:c>
      <x:c r="C918" s="2" t="str">
        <x:v>Coca-Cola</x:v>
      </x:c>
      <x:c r="D918" s="2" t="n">
        <x:v>2</x:v>
      </x:c>
      <x:c r="E918" s="10" t="n">
        <x:v>5000</x:v>
      </x:c>
      <x:c r="F918" s="10" t="n">
        <x:v>10000</x:v>
      </x:c>
      <x:c r="G918" s="8" t="n">
        <x:f>INDEX('Órdenes'!$B$7:$B$334,MATCH(A918,'Órdenes'!$A$7:$A$334,0))</x:f>
        <x:v>46263</x:v>
      </x:c>
      <x:c r="H918" s="11" t="n">
        <x:f>DATE(YEAR(G918),MONTH(G918),1)</x:f>
        <x:v>46235</x:v>
      </x:c>
    </x:row>
    <x:row r="919" ht="23" customHeight="1">
      <x:c r="A919" s="2" t="str">
        <x:v>SIM-202608-045</x:v>
      </x:c>
      <x:c r="B919" s="2" t="str">
        <x:v>Salchipapas</x:v>
      </x:c>
      <x:c r="C919" s="2" t="str"/>
      <x:c r="D919" s="2" t="n">
        <x:v>2</x:v>
      </x:c>
      <x:c r="E919" s="10" t="n">
        <x:v>12000</x:v>
      </x:c>
      <x:c r="F919" s="10" t="n">
        <x:v>24000</x:v>
      </x:c>
      <x:c r="G919" s="8" t="n">
        <x:f>INDEX('Órdenes'!$B$7:$B$334,MATCH(A919,'Órdenes'!$A$7:$A$334,0))</x:f>
        <x:v>46263</x:v>
      </x:c>
      <x:c r="H919" s="11" t="n">
        <x:f>DATE(YEAR(G919),MONTH(G919),1)</x:f>
        <x:v>46235</x:v>
      </x:c>
    </x:row>
    <x:row r="920" ht="23" customHeight="1">
      <x:c r="A920" s="2" t="str">
        <x:v>SIM-202608-045</x:v>
      </x:c>
      <x:c r="B920" s="2" t="str">
        <x:v>Gaseosas</x:v>
      </x:c>
      <x:c r="C920" s="2" t="str">
        <x:v>Coca-Cola</x:v>
      </x:c>
      <x:c r="D920" s="2" t="n">
        <x:v>2</x:v>
      </x:c>
      <x:c r="E920" s="10" t="n">
        <x:v>5000</x:v>
      </x:c>
      <x:c r="F920" s="10" t="n">
        <x:v>10000</x:v>
      </x:c>
      <x:c r="G920" s="8" t="n">
        <x:f>INDEX('Órdenes'!$B$7:$B$334,MATCH(A920,'Órdenes'!$A$7:$A$334,0))</x:f>
        <x:v>46263</x:v>
      </x:c>
      <x:c r="H920" s="11" t="n">
        <x:f>DATE(YEAR(G920),MONTH(G920),1)</x:f>
        <x:v>46235</x:v>
      </x:c>
    </x:row>
    <x:row r="921" ht="23" customHeight="1">
      <x:c r="A921" s="2" t="str">
        <x:v>SIM-202608-046</x:v>
      </x:c>
      <x:c r="B921" s="2" t="str">
        <x:v>Hamburguesa Clásica</x:v>
      </x:c>
      <x:c r="C921" s="2" t="str"/>
      <x:c r="D921" s="2" t="n">
        <x:v>1</x:v>
      </x:c>
      <x:c r="E921" s="10" t="n">
        <x:v>15000</x:v>
      </x:c>
      <x:c r="F921" s="10" t="n">
        <x:v>15000</x:v>
      </x:c>
      <x:c r="G921" s="8" t="n">
        <x:f>INDEX('Órdenes'!$B$7:$B$334,MATCH(A921,'Órdenes'!$A$7:$A$334,0))</x:f>
        <x:v>46264</x:v>
      </x:c>
      <x:c r="H921" s="11" t="n">
        <x:f>DATE(YEAR(G921),MONTH(G921),1)</x:f>
        <x:v>46235</x:v>
      </x:c>
    </x:row>
    <x:row r="922" ht="23" customHeight="1">
      <x:c r="A922" s="2" t="str">
        <x:v>SIM-202608-046</x:v>
      </x:c>
      <x:c r="B922" s="2" t="str">
        <x:v>Hamburguesa especial</x:v>
      </x:c>
      <x:c r="C922" s="2" t="str"/>
      <x:c r="D922" s="2" t="n">
        <x:v>1</x:v>
      </x:c>
      <x:c r="E922" s="10" t="n">
        <x:v>20000</x:v>
      </x:c>
      <x:c r="F922" s="10" t="n">
        <x:v>20000</x:v>
      </x:c>
      <x:c r="G922" s="8" t="n">
        <x:f>INDEX('Órdenes'!$B$7:$B$334,MATCH(A922,'Órdenes'!$A$7:$A$334,0))</x:f>
        <x:v>46264</x:v>
      </x:c>
      <x:c r="H922" s="11" t="n">
        <x:f>DATE(YEAR(G922),MONTH(G922),1)</x:f>
        <x:v>46235</x:v>
      </x:c>
    </x:row>
    <x:row r="923" ht="23" customHeight="1">
      <x:c r="A923" s="2" t="str">
        <x:v>SIM-202608-046</x:v>
      </x:c>
      <x:c r="B923" s="2" t="str">
        <x:v>Gaseosas</x:v>
      </x:c>
      <x:c r="C923" s="2" t="str">
        <x:v>Coca-Cola</x:v>
      </x:c>
      <x:c r="D923" s="2" t="n">
        <x:v>2</x:v>
      </x:c>
      <x:c r="E923" s="10" t="n">
        <x:v>5000</x:v>
      </x:c>
      <x:c r="F923" s="10" t="n">
        <x:v>10000</x:v>
      </x:c>
      <x:c r="G923" s="8" t="n">
        <x:f>INDEX('Órdenes'!$B$7:$B$334,MATCH(A923,'Órdenes'!$A$7:$A$334,0))</x:f>
        <x:v>46264</x:v>
      </x:c>
      <x:c r="H923" s="11" t="n">
        <x:f>DATE(YEAR(G923),MONTH(G923),1)</x:f>
        <x:v>46235</x:v>
      </x:c>
    </x:row>
  </x:sheetData>
  <x:pageMargins left="0.7" right="0.7" top="0.75" bottom="0.75" header="0.3" footer="0.3"/>
  <x:tableParts count="1">
    <x:tablePart xmlns:r="http://schemas.openxmlformats.org/officeDocument/2006/relationships" r:id="Rcbeabffae2194c41"/>
  </x:tableParts>
</x:worksheet>
</file>